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갠트 차트 템플릿" sheetId="1" r:id="rId5"/>
    <sheet state="visible" name="작업 상세" sheetId="2" r:id="rId6"/>
  </sheets>
  <definedNames>
    <definedName hidden="1" localSheetId="1" name="_xlnm._FilterDatabase">'작업 상세'!$A$4:$J$35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4">
      <text>
        <t xml:space="preserve">수행
1. 조회 전·표시 전 권한, 출력 형식, 자료 ID·출처, 시간·예산을 검사한다. 재작성 횟수·중단 조건은 팀 협의 대상이다.
2. LangGraph 상태·분기·interrupt·checkpointer로 사용자 확인 후 재개한다. 확정 전 기존 로드맵을 유지하고 실행 상태·실패 사유를 GPU 밖에 저장한다.
3. 점검·선택 결과·로드맵·수정안·실행 이력의 저장·복구와 화면 내 마감 알림을 연결한다. 상급자 코멘트는 사용자의 반영 요청·확정 후 계획에 반영한다. 점검·메모는 본인 전용이며 시스템 관리자 자료 운영과 개인 계획 열람 권한을 구분한다.
4. 규정·기준자료 등록, 원문 대조, 버전 관리를 구현하고 UI/API·에이전트 연동 및 아키텍처 문서를 정리한다.
선행: 3.4 저장소, 4.2·4.3·4.5 출력 계약, 역할별 권한·재작성 기준.
완료: 확정 전 원본 보존, 확정 후 버전 재조회·복구, 실패 사유 기록, 규정 원문·버전 대조와 권한 검사 확인. 10/30 AI 시스템 아키텍처.
현재 일정: 간트와 동일하게 10/29~10/30. 세부 분담과 선행 착수 필요 여부는 팀 검토 후 간트·상세 설명에 함께 반영한다.
협의: 세부 담당·검토자, 재작성 횟수·중단 조건, 상급자 공개 범위·시점, 부서 교육 수요 집계.
요구사항: FR-01, FR-04, FR-06, FR-09, FR-11, FR-19, NFR-02, NFR-05, NFR-06
세부 분담·담당은 '작업 상세' 참조.</t>
      </text>
    </comment>
    <comment authorId="0" ref="C32">
      <text>
        <t xml:space="preserve">강사님께 sLLM 모델 규모·평가 방식을 확인한 후 학습·서빙 계획을 확정한다. Qwen3.5-9B+LoRA 또는 QLoRA(실험 G에서 비교)와 A40 48GB 1장은 실측 전 후보이며 확정 사양이 아니다. 대표 입력 길이·설정의 메모리를 측정하고 필요 시 길이·배치·GPU 구성을 조정한다. 후보 작성·수정용 어댑터 하나를 A1~A3가 공유하고 관점별 어댑터와 비교하며(실험 F), 규정·진단은 같은 기본 모델을 추가 학습 없이 사용한다. 어댑터·실험 기록은 GPU 밖에 보관하고 시간·비용을 기록한다. 10/30까지 학습하고 결과는 6주 멀티 에이전트 테스트 보고서의 sLLM 파인튜닝 평가(필요시)로 보고한다.
V13 반영
수행: Qwen3.5-9B+LoRA 또는 QLoRA(실험 G에서 비교)와 RunPod A40 1장 우선 검토. 후보 작성/수정 학습 후 관점별 하위 에이전트가 어댑터 하나를 공유하고, 관점별 어댑터와 비교(실험 F).
선행: 자체 sLLM 요건·GPU 예산, 4.1 검토 데이터·출력 계약
완료: 학습 실행 근거·어댑터·설정·소스·비용 기록과 추론 연결. 학습 전후 비교는 5.1.
요구사항: NFR-02, NFR-03
1차 실험 / 환경 협의 · 10/30 학습 완료 목표. 결과는 6주 멀티 에이전트 테스트 보고서의 sLLM 파인튜닝 평가(필요시)로 보고. 대표 길이·배치의 메모리 적합성을 확인한 뒤 실행.
세부 분담·담당은 '작업 상세' 참조.</t>
      </text>
    </comment>
    <comment authorId="0" ref="C30">
      <text>
        <t xml:space="preserve">1. 규정 검색 입력/출력과 LangGraph 규정 노드를 구현한다.
2. 답변 전 대상·한도·승인·기간을 원문 조항과 대조하고 근거·미확인 사항을 제시한다. 자료 미확보를 규정 없음으로 단정하지 않는다.
3. 하단 챗봇 요청을 규정·일반·범위 밖 3분류로 나눠 규정은 근거 답변, 일반은 일반 답변 표시와 메뉴 안내, 범위 밖은 안내만 한다. 불확실하면 사용자에게 묻는다. 로드맵의 지원 조건 확인 요청을 받아 결과를 반환한다.
4. 인사·교육 외 등록 규정 범위는 팀 협의로 정한다. 승진·발령·보수·성과급 상담과 공식 승인·결재는 제외한다.
V13 반영
수행: 규정 에이전트·하단 챗봇과 요청 3분류 연결. 규정은 조항·적용 조건·한계 답변, 일반은 일반 답변 표시·메뉴 안내, 범위 밖은 답하지 않고 안내. 로드맵의 지원 조건 확인 요청에 결과 반환.
선행: 3.1 분류·3.2 검색·규정 근거표·진행 상태 계약
완료: 규정·일반·범위 밖 경로, 불확실 질문 확인과 근거 부족 안내. 지원 조건 결과가 계획 작성으로 복귀.
요구사항: FR-07, FR-13, FR-20, NFR-01, NFR-05
1차 · 10/26~29. 분류·호출·대기·재개는 LangGraph, 별도 LLM 슈퍼바이저 없음.
세부 분담·담당은 '작업 상세' 참조.</t>
      </text>
    </comment>
    <comment authorId="0" ref="C28">
      <text>
        <t xml:space="preserve">메인 규정·로드맵 계획·진단 에이전트 3개와 로드맵 관점별 하위 3개를 구현한다. 별도 근거 검증·피드백·보고서 에이전트는 후속 검토다. 10/30 산출물은 AI 시스템 아키텍처다. sLLM 학습 결과는 6주 멀티 에이전트 테스트 보고서의 sLLM 파인튜닝 평가(필요시)로 보고한다.</t>
      </text>
    </comment>
    <comment authorId="0" ref="C26">
      <text>
        <t xml:space="preserve">K-MOOC 강좌 OpenAPI 연동 모듈을 개발하고 첫 시연 분야의 실존 과정을 확보·검증한다. 도서·자격·공식 문서를 포함해 DB에 등록하며 자료의 대상·선수지식·이용 조건을 보존한다. 정보나루는 승인 필요, 승인 전에는 직접 정리한 목록을 사용한다. GSEEK는 기관 승인 시, 민간 자료는 이용 조건 협의 후 추가한다. 미확인 비용·모집 상태는 확인 필요로 표시한다.
V13 반영
수행: K-MOOC 수집·정규화·중복 처리와 공식 문서 등록. KOHI 보완 및 GSEEK/정보나루/민간 자료의 승인·이용 조건 관리.
선행: 1.4 출처·이용 조건, 2.2 스키마
완료: API 수집·실패 처리·DB 적재와 출처 메타데이터 대조.
요구사항: FR-02, FR-03, FR-08
1차 / 추가 연동 조건부 · 실제 RAG 학습자료 확보가 선행. 승인 전 추가 API 연동을 확정하지 않음.
세부 분담·담당은 '작업 상세' 참조.</t>
      </text>
    </comment>
    <comment authorId="0" ref="C24">
      <text>
        <t xml:space="preserve">TF-IDF+로지스틱 회귀와 한국어 사전학습 분류 모델을 동일 데이터로 비교하고 macro-F1 및 혼동 사례를 평가한다. 불확실한 분류는 사용자에게 확인하는 흐름과 연결한다. 10/23 ML/DL 학습결과서와 학습 모델을 제출한다.
V13 반영
수행: TF-IDF+로지스틱 회귀와 한국어 사전학습 분류 모델을 같은 분할로 학습·평가. 불확실 요청 처리 기준 검토.
선행: 2.4 분류 데이터
완료: macro-F1·유형별 F1·혼동 사례와 학습 모델 패키지.
요구사항: FR-20, NFR-01
1차 · 10/22 내부 목표·10/23 ML/DL 학습결과서 및 학습 모델.
세부 분담·담당은 '작업 상세' 참조.</t>
      </text>
    </comment>
    <comment authorId="0" ref="C22">
      <text>
        <t xml:space="preserve">V13 반영
수행: 대상·문제 가설·데이터 확보 수준·화면·설계와 미정 항목 정리.
선행: 1.2·1.3·1.4, 2.2·2.3
완료: 기획·설계·데이터 중심 중간발표 자료와 시연 범위.
요구사항: 전체 요구사항
1차 · V13 기준 중간발표 10/16. 구현 완료 발표로 표현하지 않음.
세부 분담·담당은 '작업 상세' 참조.</t>
      </text>
    </comment>
    <comment authorId="0" ref="C20">
      <text>
        <t xml:space="preserve">규정 청킹 가이드와 전처리를 수행하고 기관·조항·시행일·버전·원문 위치를 보존한다. AI 추출 정보는 시스템 관리자가 원문과 대조해 확정하는 흐름을 설계한다. 외부 학습자료의 출처·대상·선수지식·시간·비용을 정규화하고 학습 주제 매핑표를 구성한다. 10/16 전처리 결과서로 정리한다.
V13 반영
수행: 수자원공사 규정·학습자료 전처리와 청킹. 문서/조항 ID·시행일·적용 대상·원문 위치와 처리 기준 정리.
선행: 1.4 조사 목록·2.2 데이터 설계
완료: 전처리 결과서·규정 메타데이터·청킹 결과. 미확보·불명확 근거는 확인 필요로 기록.
요구사항: FR-06, FR-07, FR-08, FR-13, NFR-06
1차 · 10/15 내부 목표·10/16 전처리 결과서. 규정 자동 수집 제외.
세부 분담·담당은 '작업 상세' 참조.</t>
      </text>
    </comment>
    <comment authorId="0" ref="C18">
      <text>
        <t xml:space="preserve">V13 반영
수행: 기존 Git 저장소·Notion·소통 경로 준비 이력 유지. 실제 팀 저장소 경로와 운영 규칙 확인.
선행: 기존 환경
완료: 기존 생성 결과·접근 확인 근거 보존.
요구사항: NFR-02, NFR-06
기존 완료 이력 · 기존 10/6·100% 유지. 비밀키·개인 자료·가중치는 Git 제외.
세부 분담·담당은 '작업 상세' 참조.</t>
      </text>
    </comment>
    <comment authorId="0" ref="C16">
      <text>
        <t xml:space="preserve">수자원공사 일반직·개발·운영 직군 관련 조항과 AI 활용 사례 16건을 검토한다. 규정명·조항·대상·시행일·예외·원문 위치 및 확보 여부를 정리하고 인사·교육 외 챗봇 범위를 협의한다. 기존 도로공사서비스 분석은 비교·확대 적용 참고로 보존한다. LLM 활용·RAG·벡터 검색 실제 과정 확보를 우선하며 과정·도서·자격·공식 문서의 대상·선수지식·시간·비용·출처·확인일·이용 조건을 조사한다. 학습 주제 매핑표, K-MOOC 연동, 정보나루 승인 여부를 확인한다. 10/8 수집 데이터 보고서로 정리한다.
V13 반영
수행: 수자원공사 교육 관련 규정·AI 학습자료 조사. 개발/운영 적용 대상·선수지식·시간·비용·출처·이용 조건과 역량 매핑 정리.
선행: 첫 시연 목표·확보 규정
완료: 수집 데이터 보고서·학습자료 목록·매핑표·규정 근거표·미확보 목록.
요구사항: FR-02, FR-03, FR-07, FR-08, NFR-06
1차 / 추가 연동 조건부 · 10/8 수집 보고서. 최신 진행률은 H열을 기준으로 하며 확보·미확보를 구분.
세부 분담·담당은 '작업 상세' 참조.</t>
      </text>
    </comment>
    <comment authorId="0" ref="C47">
      <text>
        <t xml:space="preserve">V13 반영
수행: 규정 상담, 후보 비교·선택·수정·확정, 실행·사후 점검·결과 보고서 시연. 첫 시연은 가상 개발/운영 직원의 RAG 학습.
선행: 6.3·7.1, 고정 시연 자료
완료: 실제 모델 추론과 가상 데이터 사용 범위를 구분한 시연 영상.
요구사항: FR-07, FR-09, FR-10, FR-12, FR-14, FR-15, FR-17~FR-20
1차 · 팀원이 직접 만든 RAG 시제품을 서비스가 자동 제작한다고 표현하지 않음.
세부 분담·담당은 '작업 상세' 참조.</t>
      </text>
    </comment>
    <comment authorId="0" ref="C14">
      <text>
        <t xml:space="preserve">V13 반영
수행: V13에 따라 요구사항 ID·범위·검증 기준과 WBS 작업을 대조. 10/2 제출 이후 최신 내용 갱신.
선행: V13 검토
완료: 요구사항 누락·상충 점검과 팀 검토. 파일 수정만으로 검토 완료 처리하지 않음.
요구사항: 전체 요구사항
기존 작업 / 최신화 · 기존 제출 일정·진행률 보존. V13 반영 확인은 별도 검토.
세부 분담·담당은 '작업 상세' 참조.</t>
      </text>
    </comment>
    <comment authorId="0" ref="C45">
      <text>
        <t xml:space="preserve">V13 반영
수행: 웹 애플리케이션 실행·권한·저장·복구·환경 설정·배포 상태 확인.
선행: 6.3 검증본
완료: 11/20 제출 가능한 웹 앱과 실행 안내. 비밀키·개인 정보 미노출 확인.
요구사항: FR-01, NFR-02, NFR-06
1차 · 배포 완료 여부는 실제 실행으로 확인.
세부 분담·담당은 '작업 상세' 참조.</t>
      </text>
    </comment>
    <comment authorId="0" ref="C12">
      <text>
        <t xml:space="preserve">한국수자원공사의 가상 개발·운영 직무 부서 직원이 업무에 AI를 적용하기 위한 학습 지원으로 대상·문제 가설·서비스 목적을 정리한다. 실제 직무·교육 수요는 미확인이다.
수행: 1차 구현·후속 검토·제외 범위를 구분하고 메인 3개 및 로드맵 하위 3개 구성, 역할별 기능·권한을 기획서·요구사항·화면·WBS에 맞춘다.
완료: 범위 조정 결과와 미정 항목을 문서에 반영하고 팀 검토 결과를 기록한다. 미정 항목은 확인 담당·다음 확인 시점을 정해 남긴다.
협의: 가상 기관 전환, 관점 구성, 상급자 공개 범위, 재작성 기준, 모델·DB·저장 방식·GPU 예산·세부 담당.
현재 일정: 기존 간트의 9/28~10/8. 별도 회의 날짜를 확정한 것은 아니다. 최신 진행률은 H열을 기준으로 하며 문서 반영만으로 팀 검토 완료를 뜻하지 않는다.
근거: GrowPath AI 보완안 V13(2026.10.07), 1·5·9장 및 강사님 피드백. https://docs.google.com/document/d/1yH5rPlnwbVjMIKCu6IwY2c7QV87F8x34qOnivLCzd_E/edit
요구사항: FR-01, FR-10, FR-19, NFR-05
세부 분담·담당은 '작업 상세' 참조.</t>
      </text>
    </comment>
    <comment authorId="0" ref="C43">
      <text>
        <t xml:space="preserve">결함 디버깅과 예외 처리를 보강하고 재시험 결과를 기록한다. 정보 노출·허위 조항/과정·승인 오표시, 불필요한 유보, 미확인 지원금 반영, 요청 밖 변경, 설문/계산 수치 불일치를 우선 확인한다. 11/13 서비스 테스트 보고서로 정리한다.
V13 반영
수행: 통합 시험 결함 수정과 영향 범위 재검증. 서비스 테스트 결과와 남은 제한 정리.
선행: 6.1·6.2 결함
완료: 11/13 서비스 테스트 보고서·재검증 근거.
요구사항: NFR-07
1차 · 동결 후 범위 추가는 별도 협의. 결함 해결과 추가 기능을 구분.
세부 분담·담당은 '작업 상세' 참조.</t>
      </text>
    </comment>
    <comment authorId="0" ref="H14">
      <text>
        <t xml:space="preserve">기존 표시 100%를 유지하며 내부값을 1→100으로 정규화. 완료율 입력 규칙 0~100 및 평균·간트 계산과 일치시킴.</t>
      </text>
    </comment>
    <comment authorId="0" ref="C41">
      <text>
        <t xml:space="preserve">기존 권한/세션/데이터 영속성 경계값 시험을 수행한다. 기관·버전 혼입, 조회 전/표시 전 권한, 본인/상급자/시스템 관리자 역할 분리, 점검·메모 비공개, 수정안 확정 전 원본 보존을 확인한다. 실패 후 재개와 GPU 서버 종료 후 상태·기록 보존, 자료 없는 시작도 시험한다.
V13 반영
수행: 권한 밖 자료·기관/버전 혼입·확정 전 덮어쓰기·GPU 재시작·자료 부족·근거 부족·상급자 비공개 항목 테스트.
선행: 5.4 동결본·권한표
완료: 정상/실패/경계 결과와 결함 기록. 타인 노출·허위 자료·승인 오표시 점검.
요구사항: FR-01, FR-09, FR-11, FR-13, FR-19, NFR-02, NFR-06
1차 · 개인 기록 없는 것을 미수행·의지 부족으로 해석하지 않는 사례 포함.
세부 분담·담당은 '작업 상세' 참조.</t>
      </text>
    </comment>
    <comment authorId="0" ref="C39">
      <text>
        <t xml:space="preserve">11/6 시스템 구성도와 코드·기능·모델 버전을 동결한다. 미정이거나 후속인 항목은 확정 구현과 구분한다. 독립 근거 검증 에이전트, 퀴즈/실습 자동 평가, PDF 출력, 외부 알림, 비동기 문의/FAQ, 다른 기관·직군 확장은 후속 검토이며 부서 교육 수요 집계는 별도 협의다.
V13 반영
수행: 검증된 기능·모델·데이터·프롬프트·관점 버전 고정. 후속 기능·미정 항목 분리.
선행: 5.1·5.3, 주요 실패 해결
완료: 11/6 시스템 구성도와 기능·모델 동결 기록.
요구사항: NFR-05, NFR-06, NFR-07
1차 · 선택 실험 결과 유무가 동결의 필수 전제가 되지 않음.
세부 분담·담당은 '작업 상세' 참조.</t>
      </text>
    </comment>
    <comment authorId="0" ref="D6">
      <text>
        <t xml:space="preserve">V13(2026.10.07) 기준 갱신. 수행 내용·완료 조건·요구사항 연결은 '작업 상세' 시트 참조.</t>
      </text>
    </comment>
    <comment authorId="0" ref="C37">
      <text>
        <t xml:space="preserve">로드맵 후보 작성 표본으로 Qwen3.5-9B, Qwen3.8-27B, 큰 모델 1종(50~70B급)을 여유 시 비교한다. 모델·GPU·예산은 미확정이며 27B LoRA도 선택 실험이다. 크기와 세대가 함께 다르므로 차이를 모델 크기의 효과만으로 해석하지 않는다. 필수 구현/제출을 우선하며 실측 비용·메모리·시간을 보고 수행 범위를 정한다.
V13 반영
수행: 27B급 및 50~70B급 후보의 작성 품질·시간 비교. 27B LoRA는 별도 선택 실험.
선행: 필수 A/B/C/E/F/G 실험·GPU 예산·시간 확보
완료: 실행한 경우 모델/양자화/환경·비용·결과 보고. 세대·크기 등 달라진 조건을 함께 설명.
요구사항: NFR-03, NFR-07
선택 실험 · 11/3~5는 선택 실험 가능 구간. 미실행을 필수 기능 미완료로 계산하지 않음.
세부 분담·담당은 '작업 상세' 참조.</t>
      </text>
    </comment>
    <comment authorId="0" ref="C33">
      <text>
        <t xml:space="preserve">1. 설문 문항·응답 척도·점수 계산·시작점 제안 기준·사후 점검 시점을 팀과 정한다.
2. 프로그램이 점수·전후 차이를 계산하고 진단 에이전트는 응답 요약·학습 시작점·보완 방향을 제안한다. 사용자가 시작점을 조정할 수 있게 한다.
3. 확정 로드맵·실행 기록·계산 수치로 결과 보고서를 작성하고 수치 일치 및 자기보고/자료 확인 구분을 검증한다. 사전 점검이 없으면 전후 차이를 계산하지 않는다. 자기평가 상승을 실제 역량 향상으로 단정하지 않는다. 퀴즈·실습 자동 평가는 후속이다. 공통 검사·interrupt 구현은 4.6에서 관리하며 해당 작업의 현재 일정은 10/29~10/30이다. 진단 작업 일정은 이 행의 10/28~10/30을 따른다. 세부 분담은 협의한다.
V13 반영
수행: 진단 에이전트와 사전·사후 설문, 시작점 제안, 실행 기록·결과 보고서 구현. 계산은 프로그램, 설명·보완 방향은 에이전트 담당.
선행: 설문·척도·계산 기준, 3.4 저장소·확정 계획 계약
완료: 응답·계산·보고서 일치. 시작점 조정과 사용자 결과 확인. 사전 응답 부재 시 전후 차이 제외, 선택 첨부 없어도 기록 가능.
요구사항: FR-05, FR-12, FR-14, FR-18
1차 / 설문 기준 협의 · 10/28~30. 자기평가 변화와 실제 역량 향상 구분. 증빙 미제출을 미수행으로 판정하지 않음.
세부 분담·담당은 '작업 상세' 참조.</t>
      </text>
    </comment>
    <comment authorId="0" ref="C31">
      <text>
        <t xml:space="preserve">1. 로드맵 계획 노드의 입력·상태와 후보 출력 형식을 구현한다.
2. A1 비용 우선, A2 시간 우선, A3 업무 적용 우선 하위 에이전트를 각각 구현하고 LangGraph Send로 병렬 실행·수집한다. 관점 구성은 팀 검토안이다. 같은 모델·자료·목표·시간/예산 한도를 사용한다.
3. DB 등록 학습자료 검색과 규정 지원 조건 확인을 연결하고 자료 적합성·실습 과제 난이도를 점검한다. 외부 과정과 직접 수행 실습 과제를 구분한다.
4. 후보 3개 계획 보고서와 선택 결과 기록을 구현한다.
5. 선택한 관점만 수정안을 작성하고 사용자가 확인·확정해야 반영한다. 상급자 코멘트도 사용자 반영 요청이 있을 때만 수정으로 연결한다. 기존 4.3 고정 시험 30건 정답지의 일정(10/27~10/30)과 완료조건(근거·기대 결과 확정)은 유지하며 세부 범위는 4.1 메모에도 기재했다. 로드맵 구현 분해는 잠정안이며 기존 일정 안의 담당·작업량은 팀 확인이 필요하다.
V13 반영
수행: 로드맵 계획 에이전트와 관점별 후보 3개 구현. 비교 보고서·선택 결과 기록·선택 관점의 부분 수정 화면/API 연결.
선행: 목표·시작점 계약, 3.2~3.4, 관점·출력 기준
완료: 같은 목표·한도 아래 3안 비교. 요청 부분만 수정하고 유지 조건 보존. 4.6의 사용자 확정·저장으로 연결.
요구사항: FR-02, FR-05, FR-08, FR-10, FR-15, FR-17, NFR-05
1차 / 관점 기준 협의 · 10/27~30. 설문·진단 출력은 4.5와 공통 계약으로 병행 개발.
세부 분담·담당은 '작업 상세' 참조.</t>
      </text>
    </comment>
    <comment authorId="0" ref="H35">
      <text>
        <t xml:space="preserve">5.2는 선택 실험이므로 필수 작업 평균에서 제외.</t>
      </text>
    </comment>
    <comment authorId="0" ref="C29">
      <text>
        <t xml:space="preserve">1. 자체 sLLM 요건을 먼저 확인하고 후보 작성·수정 학습 데이터 형식과 생성·검토 규칙을 정한다.
2. 작성/수정 정답 초안을 생성·정제하고 사람이 목표·관점·요청 외 유지 여부를 검토한다. 학습 300(작성 200/수정 100)·검증 50·평가 50은 팀 협의 전 초기 목표다. 같은 프로필·기존 로드맵에서 나온 사례는 한 세트에만 배치한다.
3. 기존 고정 평가 시나리오 30건 정답지 작업을 함께 수행한다. 규정 8·점검 6·로드맵 후보/수정 10·예외 6의 근거·기대 결과와 품질 평가표를 작성·검토 후 확정하고 검토자 2명을 지정한다. 학습 데이터와 고정 시험은 별도 관리한다. 기존 고정 시험 30건의 작업 일정은 10/27~10/30이다. 4.1의 기존 학습 데이터 일정(10/26~10/28)으로 시험 전체를 옮긴 것이 아니며, 작업 분해·병합은 잠정안으로 일정·담당 재산정은 팀 협의가 필요하다.
V13 반영
수행: 후보 작성·수정 학습 사례와 고정 시험 30건 준비. 학습/검증/평가 분리, 프로그램 검사·사람 검토. 시험: 규정 8·점검 6·로드맵/수정 10·예외 6.
선행: 자체 sLLM 요건·출력 계약·검색 자료·관점 기준
완료: 생성 규칙·검토 기록·분할·시험 기대 결과·평가표. 검증·평가 전수 검토, 검토자 2명은 지정 필요.
요구사항: FR-10, FR-11, FR-17, NFR-03, NFR-06, NFR-07
1차 실험 / 규모 협의 · 10/26~28에 생성·검토 집중. 300/50/50은 목표안. 최종 평가셋으로 튜닝하지 않음.
세부 분담·담당은 '작업 상세' 참조.</t>
      </text>
    </comment>
    <comment authorId="0" ref="C27">
      <text>
        <t xml:space="preserve">RDB 환경을 구축하고 팀원 5명 기반 가상 직원과 가상 상급자를 적재한다. 첫 시연 직원은 시스템 개발·운영 경험이 있으나 생성형 AI·RAG 경험이 적은 가정이다. 실제·가상 정보 출처를 구분하고 팀원 정보는 동의한 범위에서만 사용하며 Git에 올리지 않는다. 사례 규모·생성 규칙과 DB 제품은 팀 협의 대상이다.
V13 반영
수행: 가상 직원 5명·상급자·설문 적재. 원문·관계형 데이터·벡터·체크포인트 저장 경계 구현.
선행: 2.2 설계·사례 생성 규칙
완료: PK/FK·중복·결측·점수 범위 검사와 GPU 외부 저장 확인.
요구사항: FR-06, NFR-02, NFR-06
1차 · 실제/가상 출처 구분. 팀원 제공 정보는 동의 범위만 사용. DB 제품 미정.
세부 분담·담당은 '작업 상세' 참조.</t>
      </text>
    </comment>
    <comment authorId="0" ref="C25">
      <text>
        <t xml:space="preserve">규정 색인과 학습자료 색인을 분리 구축한다. 기관·조항·시행일·버전·원문 위치와 자료 출처·확인일·대상·선수지식을 메타데이터로 둔다. 매핑표 우선 검색 후 유사도 검색을 보완하고 공통 retriever에 조회 전 권한·기관·버전 필터를 적용한다. 개인 점검·평정·로드맵은 색인에서 제외한다. 10/23 벡터DB 구축 결과서로 정리한다.
V13 반영
수행: 규정·외부 학습자료 벡터 색인과 기관/시점/권한 필터. 역량 매핑 우선 후 벡터 검색. 공통 검색 도구 연결.
선행: 2.2·2.3, 1.4 등록 가능한 목록
완료: 색인 구축 결과서·근거 위치 조회·교차 기관/버전 혼입 방지.
요구사항: FR-01, FR-07, FR-08, NFR-06
1차 · 10/23 벡터DB 결과서. 3.3 완료 전에는 직접 확보한 검토 목록으로 구축.
세부 분담·담당은 '작업 상세' 참조.</t>
      </text>
    </comment>
    <comment authorId="0" ref="C21">
      <text>
        <t xml:space="preserve">하단 챗봇 자유 입력을 규정·일반·범위 밖(승진·발령·보수·성과급 상담) 3개 라벨로 구성한다. 로드맵·점검 요청은 일반으로 라벨한다. 모호한 요청과 경계 사례를 포함하고 개발·학습·검증·평가 데이터를 분리한다. 표현만 바꾼 유사 사례가 세트 사이에 섞이지 않도록 한다.
V13 반영
수행: 규정·일반·범위 밖(승진·발령·보수·성과급 상담) 질문과 불확실 요청 사례 작성. 로드맵·점검 요청은 일반(메뉴 안내)으로 라벨. 유사 문장·파생 사례 분리.
선행: FR-20 분류 정의
완료: 3분류 라벨 기준·데이터 버전·분할 기록과 예외 사례 확보.
요구사항: FR-20, NFR-01, NFR-06
1차 · 10/15 데이터 준비 후 3.1 모델 비교로 연결.
세부 분담·담당은 '작업 상세' 참조.</t>
      </text>
    </comment>
    <comment authorId="0" ref="C19">
      <text>
        <t xml:space="preserve">기관·사용자·규정 버전·교육자료·가상 평정·사전/사후 점검 응답과 계산 점수·후보/선택 결과·관점 설정 버전·로드맵/수정안/실행 이력·결과 보고서·상급자 코멘트를 설계한다. 규정 원문, 관계형 DB, 벡터 색인, 실행 기록 저장소를 구분한다. 개인 점검·평정·로드맵은 벡터 색인에 넣지 않는다. 본인·상급자·시스템 관리자 권한을 분리하고 확정 전 수정안이 기존 로드맵을 덮어쓰지 않게 한다. 10/16 DB 설계 문서와 연결한다.
V13 반영
수행: 기관/사용자/자료와 설문·점수·후보·선택 결과·관점 버전·수정안·실행·보고서·상급자 코멘트 설계. 설문·권한 기준 협의 포함.
선행: 1.2·1.3·1.4, 설문·권한 기준
완료: ERD·데이터 정의서·공통 입출력 예시. 개인 기록과 벡터 색인 분리.
요구사항: FR-01, FR-06, FR-09, FR-12, FR-14, FR-15, FR-17~FR-19, NFR-02, NFR-06
1차 · 기존 10/14 설계 완료 목표, 10/16 DB 설계 문서 제출. 기준 확정이 선행.
세부 분담·담당은 '작업 상세' 참조.</t>
      </text>
    </comment>
    <comment authorId="0" ref="C48">
      <text>
        <t xml:space="preserve">V13 반영
수행: 문제·대상·설계·데이터·모델·검증 결과와 남은 과제 발표. 역할별 설명과 시연 점검.
선행: 7.1~7.3
완료: 11/20 최종 발표·시연영상·웹 앱·소스 제출 확인.
요구사항: 전체 요구사항
1차 · 실측 근거와 팀 검토 후 제출. AI 작성만으로 사람 검토 완료 표시 금지.
세부 분담·담당은 '작업 상세' 참조.</t>
      </text>
    </comment>
    <comment authorId="0" ref="C15">
      <text>
        <t xml:space="preserve">목표·조건 입력 → 사전 점검 → 후보 3개 비교·계획 보고서 → 선택 결과 기록 → 수정안 확인·확정 → 실행 기록 → 사후 점검·결과 보고서 흐름을 설계한다. 하단 챗봇, 상급자 열람·코멘트, 시스템 관리자 자료 운영 화면을 구분한다. 상급자는 확정 로드맵·진행 상태를 보는 기본안이며, 점검 결과·개인 메모는 본인 전용이다. 상급자 범위·공개 항목·공유 시점은 협의 후 권한표에 반영한다. 10/8 화면 설계서 산출물과 연결한다.
V13 반영
수행: 목표·설문·시작점·3안 비교·선택·수정안 확인·확정·실행·결과 보고서·챗봇·상급자·관리 화면 설계.
선행: 요구사항·권한 기본안
완료: 주요 화면과 상태·정상/예외 흐름을 연결한 화면 설계서.
요구사항: FR-05, FR-06, FR-09, FR-12, FR-14, FR-15, FR-17~FR-20
1차 · 10/8 화면 설계서. 세부 권한 미정 부분 명시.
세부 분담·담당은 '작업 상세' 참조.</t>
      </text>
    </comment>
    <comment authorId="0" ref="C46">
      <text>
        <t xml:space="preserve">V13 반영
수행: 최종 산출물과 실행법·설계·실험·한계를 정리. 코드와 대용량 외부 산출물 위치·버전 연결.
선행: 6.3, 5.3 실험 보고서
완료: 최종 보고서·소스코드·모델/데이터 manifest와 링크 확인.
요구사항: NFR-02, NFR-06, NFR-07
1차 · 11/20 최종 제출. Git 커밋·푸시는 별도 승인과 팀 절차 적용.
세부 분담·담당은 '작업 상세' 참조.</t>
      </text>
    </comment>
    <comment authorId="0" ref="C13">
      <text>
        <t xml:space="preserve">V13 반영
수행: 한국도로공사서비스 규정·평가표의 기존 조사 이력 보존. 수자원공사 자료는 1.4 조사 후 2.3 전처리로 연결.
선행: 기존 조사 자료
완료: 기존 조사 결과와 출처 확인. 기관 변경으로 완료 이력을 바꾸지 않음.
요구사항: FR-07, NFR-06
기존 완료 이력 · 기존 담당·일정·100% 유지.
세부 분담·담당은 '작업 상세' 참조.</t>
      </text>
    </comment>
    <comment authorId="0" ref="C42">
      <text>
        <t xml:space="preserve">외부 대리 사용자 중심 시험을 V13의 팀원 5명 기반 가상 직원 사례와 가상 상급자 흐름으로 최신화한다. 일부 사례는 목표 입력→사전 점검→후보 선택→수정안 확인·확정→실행 기록→사후 점검→결과 보고서까지 연속 시험한다. 상급자 코멘트 반영 요청, 불확실 분류 확인, 시간/예산과 원문 근거, 숫자 일치, 직접 검색 대비 소요 시간을 확인한다. 실제 수요 검증으로 오인하지 않는다.
V13 반영
수행: 가상 직원 5명 사례로 전체 흐름·사용자 선택·부분 수정·상급자 의견 반영 요청·결과 확인 검증.
선행: 5.4 동결본·시험 사례
완료: 완료율·유용성 평가·불필요한 유보와 막힌 단계 기록.
요구사항: FR-05, FR-09, FR-12, FR-14, FR-15, FR-17~FR-20, NFR-07
1차 · 외부 대리 사용자 참여는 확정하지 않음. 자기평가 변화와 실제 역량 향상 구분.
세부 분담·담당은 '작업 상세' 참조.</t>
      </text>
    </comment>
    <comment authorId="0" ref="C38">
      <text>
        <t xml:space="preserve">구성·학습 전후·후보 작성 방식의 품질/처리 시간을 분석하고 모델 후보 비교는 수행 여부·제약을 명시한다. 규정·교육·프롬프트·관점 설정·모델 버전과 고정 조건, 최초 출력/보완 후 결과를 남긴다. 근거 적합성 90% 이상, 정상 완료율 90% 이상, 로드맵 유용성 4.0/5 이상, 정보 노출·허위 조항/과정·승인 오표시 0건은 팀 검토용 목표이며 측정 결과가 아니다. 11/6 멀티에이전트 테스트 보고서로 정리한다.
V13 반영
수행: 근거 적합성·정상 완료율·유용성·위반·처리 시간 분석. 미달·한계와 후속 개선 구분.
선행: 5.1, 5.2 실행 시 결과
완료: 11/6 멀티에이전트 테스트 보고서. 목표값과 측정값을 구분.
요구사항: FR-11, NFR-04, NFR-07
1차 · 0건/90%/4점은 팀 검토용 목표. 실측으로 달성 여부 판단.
세부 분담·담당은 '작업 상세' 참조.</t>
      </text>
    </comment>
    <comment authorId="0" ref="C36">
      <text>
        <t xml:space="preserve">A 단일 에이전트와 B 메인 3개는 모델·자료·입력·도구를 고정해 비교한다. B/C는 같은 기본 모델에서 후보 작성 어댑터 유무만 바꾸고 프롬프트·관점·검색 후보·양자화·생성 설정을 고정한다. E는 한 번의 호출로 후보 3개 작성과 하위 3개 병렬 작성을 비교한다. F는 관점 설정(프롬프트)과 관점별 어댑터를, G는 LoRA와 QLoRA를 같은 데이터·평가 세트로 비교한다. 고정 시험 30건과 분리된 사례를 사용하며 최초 출력/보완 후 결과, 조건 위반, 요청 밖 변경, 품질·처리 시간을 따로 기록한다.
V13 반영
수행: A 단일/B 메인 3개, B/C 어댑터 유무, E 1회 3안/관점별 병렬 작성, F 관점 설정(프롬프트)/관점별 어댑터, G LoRA/QLoRA 비교.
선행: 4.1 고정 평가 기준·4.2~4.6 연동본
완료: 동일 입력·자료·도구·설정의 품질·위반·요청 밖 변경·처리 시간과 최초/보완 후 결과.
요구사항: NFR-03, NFR-04, NFR-07
1차 · 최종 평가 세트·사용 시점 기록. 처리 시간 개선이나 파인튜닝 향상을 가정하지 않음.
세부 분담·담당은 '작업 상세' 참조.</t>
      </text>
    </comment>
  </commentList>
</comments>
</file>

<file path=xl/sharedStrings.xml><?xml version="1.0" encoding="utf-8"?>
<sst xmlns="http://schemas.openxmlformats.org/spreadsheetml/2006/main" count="444" uniqueCount="335">
  <si>
    <t>V13 작업 범위와 완료 기준</t>
  </si>
  <si>
    <t>기준: (1007)HR_상담_성장지원_기획서_보완안_V13 | 2026.10.08 반영 | 기존 일정·담당·완료 상태 유지, 세부 기준·분담은 팀 검토 전</t>
  </si>
  <si>
    <t>WBS 번호</t>
  </si>
  <si>
    <t>작업명</t>
  </si>
  <si>
    <t>담당자</t>
  </si>
  <si>
    <t>수행 내용</t>
  </si>
  <si>
    <t>선행 조건</t>
  </si>
  <si>
    <t>완료 조건·산출물</t>
  </si>
  <si>
    <t>연결 요구사항</t>
  </si>
  <si>
    <t>검토자</t>
  </si>
  <si>
    <t>구분</t>
  </si>
  <si>
    <t>일정·협의 사항</t>
  </si>
  <si>
    <t>WBS</t>
  </si>
  <si>
    <t>업무 AI 적용을 위한 학습 지원으로 대상·문제 가설·목적 정리. 1차·후속·제외 범위 조정과 역할별 기능·권한 검토. 메인 3개 구조·가상 기관 전환 여부 등 협의.</t>
  </si>
  <si>
    <t>V13 검토</t>
  </si>
  <si>
    <t>범위 조정 결과와 미정 항목을 기획서·요구사항·화면·WBS에 일치시키고 팀 검토 결과 기록. 미정 항목은 확인 담당·다음 확인 시점을 남김.</t>
  </si>
  <si>
    <t>FR-01, FR-10, FR-19, NFR-05</t>
  </si>
  <si>
    <t>[미정]</t>
  </si>
  <si>
    <t>기존 작업 / 추가 협의</t>
  </si>
  <si>
    <t>기존 9/28~10/8 재기획 작업에 범위 조정 포함. 최신 진행률은 간트 H열 기준. 문서 반영만으로 팀 검토 완료를 뜻하지 않음.</t>
  </si>
  <si>
    <t>프로젝트 이름</t>
  </si>
  <si>
    <t>GrowPath</t>
  </si>
  <si>
    <t>공휴일 · 기간/바 제외</t>
  </si>
  <si>
    <t>한국도로공사서비스 규정·평가표의 기존 조사 이력 보존. 수자원공사 자료는 1.4 조사 후 2.3 전처리로 연결.</t>
  </si>
  <si>
    <t>기존 조사 자료</t>
  </si>
  <si>
    <t>기존 조사 결과와 출처 확인. 기관 변경으로 완료 이력을 바꾸지 않음.</t>
  </si>
  <si>
    <t>FR-07, NFR-06</t>
  </si>
  <si>
    <t>기존 완료 이력</t>
  </si>
  <si>
    <t>기존 담당·일정·100% 유지.</t>
  </si>
  <si>
    <t>프로젝트 관리자</t>
  </si>
  <si>
    <t>송지섭</t>
  </si>
  <si>
    <t>V13에 따라 요구사항 ID·범위·검증 기준과 WBS 작업을 대조. 10/2 제출 이후 최신 내용 갱신.</t>
  </si>
  <si>
    <t>대상·문제 가설·업무 활용 목적과 역할별 기능·권한 확인. 요구사항 누락·상충 점검 및 팀 검토. 파일 수정만으로 검토 완료 처리하지 않음.</t>
  </si>
  <si>
    <t>전체 요구사항</t>
  </si>
  <si>
    <t>기존 작업 / 최신화</t>
  </si>
  <si>
    <t>기존 제출 일정·진행률 보존. V13 반영 확인은 별도 검토.</t>
  </si>
  <si>
    <t>개천절 대체공휴일</t>
  </si>
  <si>
    <t>목표·설문·시작점·3안 비교·선택·수정안 확인·확정·실행·결과 보고서·챗봇·상급자·관리 화면 설계.</t>
  </si>
  <si>
    <t>요구사항·권한 기본안</t>
  </si>
  <si>
    <t>주요 화면과 상태·정상/예외 흐름을 연결한 화면 설계서.</t>
  </si>
  <si>
    <t>FR-05, FR-06, FR-09, FR-12, FR-14, FR-15, FR-17~FR-20</t>
  </si>
  <si>
    <t>1차</t>
  </si>
  <si>
    <t>10/8 화면 설계서. 세부 권한 미정 부분 명시.</t>
  </si>
  <si>
    <t>최신화</t>
  </si>
  <si>
    <t>수자원공사 교육 관련 규정·AI 학습자료 조사. 개발/운영 적용 대상·선수지식·시간·비용·출처·이용 조건과 역량 매핑 정리.</t>
  </si>
  <si>
    <t>첫 시연 목표·확보 규정</t>
  </si>
  <si>
    <t>수집 데이터 보고서·학습자료 목록·매핑표·규정 근거표·미확보 목록.</t>
  </si>
  <si>
    <t>FR-02, FR-03, FR-07, FR-08, NFR-06</t>
  </si>
  <si>
    <t>1차 / 추가 연동 조건부</t>
  </si>
  <si>
    <t>10/8 수집 보고서. 최신 진행률은 간트 H열 기준. 확보·미확보를 구분.</t>
  </si>
  <si>
    <t>한글날</t>
  </si>
  <si>
    <t>기존 Git 저장소·Notion·소통 경로 준비 이력 유지. 실제 팀 저장소 경로와 운영 규칙 확인.</t>
  </si>
  <si>
    <t>기존 환경</t>
  </si>
  <si>
    <t>기존 생성 결과·접근 확인 근거 보존.</t>
  </si>
  <si>
    <t>입력: 시작일·마감일 / 완료율은 0–100 정수 (100=완료)</t>
  </si>
  <si>
    <t>NFR-02, NFR-06</t>
  </si>
  <si>
    <t>기존 10/6·100% 유지. 비밀키·개인 자료·가중치는 Git 제외.</t>
  </si>
  <si>
    <t>예정 일정</t>
  </si>
  <si>
    <t>완료 구간</t>
  </si>
  <si>
    <t>◆ 중간 발표</t>
  </si>
  <si>
    <t>기관/사용자/자료와 설문·점수·후보·선택 결과·관점 버전·수정안·실행·보고서·상급자 코멘트 설계. 설문·권한 기준 협의 포함.</t>
  </si>
  <si>
    <t>1.2·1.3·1.4, 설문·권한 기준</t>
  </si>
  <si>
    <t>ERD·데이터 정의서·공통 입출력 예시. 개인 기록과 벡터 색인 분리.</t>
  </si>
  <si>
    <t>FR-01, FR-06, FR-09, FR-12, FR-14, FR-15, FR-17~FR-19, NFR-02, NFR-06</t>
  </si>
  <si>
    <t>기존 10/14 설계 완료 목표, 10/16 DB 설계 문서 제출. 기준 확정이 선행.</t>
  </si>
  <si>
    <t>◆ 최종 발표</t>
  </si>
  <si>
    <t>수자원공사 규정·학습자료 전처리와 청킹. 문서/조항 ID·시행일·적용 대상·원문 위치와 처리 기준 정리.</t>
  </si>
  <si>
    <t>1.4 조사 목록·2.2 데이터 설계</t>
  </si>
  <si>
    <t>작업 담당자</t>
  </si>
  <si>
    <t>전처리 결과서·규정 메타데이터·청킹 결과. 미확보·불명확 근거는 확인 필요로 기록.</t>
  </si>
  <si>
    <t>FR-06, FR-07, FR-08, FR-13, NFR-06</t>
  </si>
  <si>
    <t>시작일</t>
  </si>
  <si>
    <t>10/15 내부 목표·10/16 전처리 결과서. 규정 자동 수집 제외.</t>
  </si>
  <si>
    <t>마감일</t>
  </si>
  <si>
    <t>기간 (영업일)</t>
  </si>
  <si>
    <t>완료율 (0–100%)</t>
  </si>
  <si>
    <t>1단계: 프로젝트 기획 및 데이터 기반 구축</t>
  </si>
  <si>
    <t>규정·일반·범위 밖(승진·발령·보수·성과급 상담) 질문과 불확실 요청 사례 작성. 로드맵·점검 요청은 일반(메뉴 안내)으로 라벨. 유사 문장·파생 사례 분리.</t>
  </si>
  <si>
    <t>FR-20 분류 정의</t>
  </si>
  <si>
    <t>3분류 라벨 기준·데이터 버전·분할 기록과 예외 사례 확보.</t>
  </si>
  <si>
    <t>FR-20, NFR-01, NFR-06</t>
  </si>
  <si>
    <t>10/15 데이터 준비 후 3.1 모델 비교로 연결.</t>
  </si>
  <si>
    <t>2단계: 핵심 기능 개발 및 서비스 고도화</t>
  </si>
  <si>
    <t>대상·문제 가설·데이터 확보 수준·화면·설계와 미정 항목 정리.</t>
  </si>
  <si>
    <t>1.2·1.3·1.4, 2.2·2.3</t>
  </si>
  <si>
    <t>3단계: 비교 검증 및 최종 서비스 배포</t>
  </si>
  <si>
    <t>기획·설계·데이터 중심 중간발표 자료와 시연 범위.</t>
  </si>
  <si>
    <t>V13 기준 중간발표 10/16. 구현 완료 발표로 표현하지 않음.</t>
  </si>
  <si>
    <t>1주차 · 9/28–10/2</t>
  </si>
  <si>
    <t>TF-IDF+로지스틱 회귀와 한국어 사전학습 분류 모델을 같은 분할로 학습·평가. 불확실 요청 처리 기준 검토.</t>
  </si>
  <si>
    <t>2.4 분류 데이터</t>
  </si>
  <si>
    <t>macro-F1·유형별 F1·혼동 사례와 학습 모델 패키지.</t>
  </si>
  <si>
    <t>FR-20, NFR-01</t>
  </si>
  <si>
    <t>2주차 · 10/5–10/9</t>
  </si>
  <si>
    <t>10/22 내부 목표·10/23 ML/DL 학습결과서 및 학습 모델.</t>
  </si>
  <si>
    <t>3주차 · 10/12–10/16</t>
  </si>
  <si>
    <t>4주차 · 10/19–10/23</t>
  </si>
  <si>
    <t>5주차 · 10/26–10/30</t>
  </si>
  <si>
    <t>6주차 · 11/2–11/6</t>
  </si>
  <si>
    <t>규정·외부 학습자료 벡터 색인과 기관/시점/권한 필터. 역량 매핑 우선 후 벡터 검색. 공통 검색 도구 연결.</t>
  </si>
  <si>
    <t>2.2·2.3, 1.4 등록 가능한 목록</t>
  </si>
  <si>
    <t>색인 구축 결과서·근거 위치 조회·교차 기관/버전 혼입 방지.</t>
  </si>
  <si>
    <t>FR-01, FR-07, FR-08, NFR-06</t>
  </si>
  <si>
    <t>7주차 · 11/9–11/13</t>
  </si>
  <si>
    <t>10/23 벡터DB 결과서. 3.3 완료 전에는 직접 확보한 검토 목록으로 구축.</t>
  </si>
  <si>
    <t>8주차 · 11/16–11/20</t>
  </si>
  <si>
    <t>K-MOOC 수집·정규화·중복 처리와 공식 문서 등록. KOHI 보완 및 GSEEK/정보나루/민간 자료의 승인·이용 조건 관리.</t>
  </si>
  <si>
    <t>1.4 출처·이용 조건, 2.2 스키마</t>
  </si>
  <si>
    <t>API 수집·실패 처리·DB 적재와 출처 메타데이터 대조.</t>
  </si>
  <si>
    <t>FR-02, FR-03, FR-08</t>
  </si>
  <si>
    <t>실제 RAG 학습자료 확보가 선행. 승인 전 추가 API 연동을 확정하지 않음.</t>
  </si>
  <si>
    <t>가상 직원 5명·상급자·설문 적재. 원문·관계형 데이터·벡터·체크포인트 저장 경계 구현.</t>
  </si>
  <si>
    <t>2.2 설계·사례 생성 규칙</t>
  </si>
  <si>
    <t>PK/FK·중복·결측·점수 범위 검사와 GPU 외부 저장 확인.</t>
  </si>
  <si>
    <t>FR-06, NFR-02, NFR-06</t>
  </si>
  <si>
    <t>실제/가상 출처 구분. 팀원 제공 정보는 동의 범위만 사용. DB 제품 미정.</t>
  </si>
  <si>
    <t>후보 작성·수정 학습 사례와 고정 시험 30건 준비. 학습/검증/평가 분리, 프로그램 검사·사람 검토. 시험: 규정 8·점검 6·로드맵/수정 10·예외 6.</t>
  </si>
  <si>
    <t>자체 sLLM 요건·출력 계약·검색 자료·관점 기준</t>
  </si>
  <si>
    <t>생성 규칙·검토 기록·분할·시험 기대 결과·평가표. 검증·평가 전수 검토, 검토자 2명은 지정 필요.</t>
  </si>
  <si>
    <t>FR-10, FR-11, FR-17, NFR-03, NFR-06, NFR-07</t>
  </si>
  <si>
    <t>1차 실험 / 규모 협의</t>
  </si>
  <si>
    <t>10/26~28에 생성·검토 집중. 300/50/50은 목표안. 최종 평가셋으로 튜닝하지 않음.</t>
  </si>
  <si>
    <t>규정 에이전트·하단 챗봇과 요청 3분류 연결. 규정은 조항·적용 조건·한계 답변, 일반은 일반 답변 표시·메뉴 안내, 범위 밖은 답하지 않고 안내. 로드맵의 지원 조건 확인 요청에 결과 반환.</t>
  </si>
  <si>
    <t>3.1 분류·3.2 검색·규정 근거표·진행 상태 계약</t>
  </si>
  <si>
    <t>규정·일반·범위 밖 경로, 불확실 질문 확인과 근거 부족 안내. 지원 조건 결과가 계획 작성으로 복귀.</t>
  </si>
  <si>
    <t>FR-07, FR-13, FR-20, NFR-01, NFR-05</t>
  </si>
  <si>
    <t>10/26~29. 분류·호출·대기·재개는 LangGraph, 별도 LLM 슈퍼바이저 없음.</t>
  </si>
  <si>
    <t>프로젝트 구상 및 착수</t>
  </si>
  <si>
    <t>-</t>
  </si>
  <si>
    <t>로드맵 계획 에이전트와 관점별 후보 3개 구현. 비교 보고서·선택 결과 기록·선택 관점의 부분 수정 화면/API 연결.</t>
  </si>
  <si>
    <t>목표·시작점 계약, 3.2~3.4, 관점·출력 기준</t>
  </si>
  <si>
    <t>같은 목표·한도 아래 3안 비교. 요청 부분만 수정하고 유지 조건 보존. 4.6의 사용자 확정·저장으로 연결.</t>
  </si>
  <si>
    <t>FR-02, FR-05, FR-08, FR-10, FR-15, FR-17, NFR-05</t>
  </si>
  <si>
    <t>1차 / 관점 기준 협의</t>
  </si>
  <si>
    <t>10/27~30. 설문·진단 출력은 4.5와 공통 계약으로 병행 개발.</t>
  </si>
  <si>
    <t>Qwen3.5-9B+LoRA 또는 QLoRA(실험 G에서 비교)와 RunPod A40 1장 우선 검토. 후보 작성/수정 학습 후 관점별 하위 에이전트가 어댑터 하나를 공유하고, 관점별 어댑터와 비교(실험 F).</t>
  </si>
  <si>
    <t>자체 sLLM 요건·GPU 예산, 4.1 검토 데이터·출력 계약</t>
  </si>
  <si>
    <t>학습 실행 근거·어댑터·설정·소스·비용 기록과 추론 연결. 학습 전후 비교는 5.1.</t>
  </si>
  <si>
    <t>NFR-02, NFR-03</t>
  </si>
  <si>
    <t>1차 실험 / 환경 협의</t>
  </si>
  <si>
    <t>10/30 학습 완료 목표. 결과는 6주 멀티 에이전트 테스트 보고서의 sLLM 파인튜닝 평가(필요시)로 보고. 대표 길이·배치의 메모리 적합성을 확인한 뒤 실행.</t>
  </si>
  <si>
    <t>진단 에이전트의 개인별 사전 문항 생성(사후 같은 문항 재사용), 시작점 제안, 실행 기록·결과 보고서 구현. 점수 계산은 프로그램(화면 비표시), 설명·보완 방향은 에이전트 담당.</t>
  </si>
  <si>
    <t>문항 수·생성 규칙·점수 기준, 3.4 저장소·확정 계획 계약</t>
  </si>
  <si>
    <t>생성 문항 검사·사후 같은 문항 재사용, 응답·계산·보고서 일치. 시작점 조정과 사용자 결과 확인. 사전 응답 부재 시 전후 차이 제외, 선택 첨부 없어도 기록 가능.</t>
  </si>
  <si>
    <t>FR-05, FR-12, FR-14, FR-18</t>
  </si>
  <si>
    <t>1차 / 설문 기준 협의</t>
  </si>
  <si>
    <t>10/28~30. 자기평가 변화와 실제 역량 향상 구분. 증빙 미제출을 미수행으로 판정하지 않음.</t>
  </si>
  <si>
    <t>권한·형식·자료 ID·시간/예산 검사, 사용자 확인·확정·저장·복구. 자료 등록·버전 관리, 상급자 열람/코멘트와 아키텍처 문서 연결.</t>
  </si>
  <si>
    <t>3.4 저장소, 4.2·4.3·4.5 출력 계약, 권한·재작성 기준</t>
  </si>
  <si>
    <t>확정 전 원본 유지·버전 재조회·실패 사유 기록. 규정 원문 대조·버전 운영·권한 검사. 10/30 AI 시스템 아키텍처.</t>
  </si>
  <si>
    <t>FR-01, FR-04, FR-06, FR-09, FR-11, FR-19, NFR-02, NFR-05, NFR-06</t>
  </si>
  <si>
    <t>1차 / 세부 분담 필요</t>
  </si>
  <si>
    <t>현재 간트 일정 10/29~10/30. 세부 분담·선행 착수 필요 여부는 팀 검토 후 간트·설명에 함께 반영. 재작성 기준·상급자 공개 범위·부서 집계 미정.</t>
  </si>
  <si>
    <t>A 단일/B 메인 3개, B/C 어댑터 유무, E 1회 3안/관점별 병렬 작성, F 관점 설정(프롬프트)/관점별 어댑터, G LoRA/QLoRA 비교.</t>
  </si>
  <si>
    <t>4.1 고정 평가 기준·4.2~4.6 연동본</t>
  </si>
  <si>
    <t>동일 입력·자료·도구·설정의 품질·위반·요청 밖 변경·처리 시간과 최초/보완 후 결과.</t>
  </si>
  <si>
    <t>NFR-03, NFR-04, NFR-07</t>
  </si>
  <si>
    <t>최종 평가 세트·사용 시점 기록. 처리 시간 개선이나 파인튜닝 향상을 가정하지 않음.</t>
  </si>
  <si>
    <t>주제 확정 후 재기획 및 아키텍처 보완</t>
  </si>
  <si>
    <t>27B급 및 50~70B급 후보의 작성 품질·시간 비교. 27B LoRA는 별도 선택 실험.</t>
  </si>
  <si>
    <t>필수 A/B/C/E/F/G 실험·GPU 예산·시간 확보</t>
  </si>
  <si>
    <t>실행한 경우 모델/양자화/환경·비용·결과 보고. 세대·크기 등 달라진 조건을 함께 설명.</t>
  </si>
  <si>
    <t>NFR-03, NFR-07</t>
  </si>
  <si>
    <t>선택 실험</t>
  </si>
  <si>
    <t>11/3~5는 선택 실험 가능 구간. 미실행을 필수 기능 미완료로 계산하지 않음.</t>
  </si>
  <si>
    <t>근거 적합성·정상 완료율·유용성·위반·처리 시간 분석. 미달·한계와 후속 개선 구분.</t>
  </si>
  <si>
    <t>5.1, 5.2 실행 시 결과</t>
  </si>
  <si>
    <t>11/6 멀티에이전트 테스트 보고서. 목표값과 측정값을 구분.</t>
  </si>
  <si>
    <t>FR-11, NFR-04, NFR-07</t>
  </si>
  <si>
    <t>0건/90%/4점은 팀 검토용 목표. 실측으로 달성 여부 판단.</t>
  </si>
  <si>
    <t>검증된 기능·모델·데이터·프롬프트·관점 버전 고정. 후속 기능·미정 항목 분리.</t>
  </si>
  <si>
    <t>5.1·5.3, 주요 실패 해결</t>
  </si>
  <si>
    <t>11/6 시스템 구성도와 기능·모델 동결 기록.</t>
  </si>
  <si>
    <t>NFR-05, NFR-06, NFR-07</t>
  </si>
  <si>
    <t>선택 실험 결과 유무가 동결의 필수 전제가 되지 않음.</t>
  </si>
  <si>
    <t>도로공사서비스 규정 및 평가표 분석</t>
  </si>
  <si>
    <t>신가을</t>
  </si>
  <si>
    <t>요구사항 정의서 및 WBS 작성</t>
  </si>
  <si>
    <t>권한 밖 자료·기관/버전 혼입·확정 전 덮어쓰기·GPU 재시작·자료 부족·근거 부족·상급자 비공개 항목 테스트.</t>
  </si>
  <si>
    <t>오호민</t>
  </si>
  <si>
    <t>5.4 동결본·권한표</t>
  </si>
  <si>
    <t>정상/실패/경계 결과와 결함 기록. 타인 노출·허위 자료·승인 오표시 점검.</t>
  </si>
  <si>
    <t>FR-01, FR-09, FR-11, FR-13, FR-19, NFR-02, NFR-06</t>
  </si>
  <si>
    <t>개인 기록 없는 것을 미수행·의지 부족으로 해석하지 않는 사례 포함.</t>
  </si>
  <si>
    <t>화면 흐름 및 UI/UX 와이어프레임 설계</t>
  </si>
  <si>
    <t>김영석, 이준희</t>
  </si>
  <si>
    <t>가상 직원 5명 사례로 전체 흐름·사용자 선택·부분 수정·상급자 의견 반영 요청·결과 확인 검증.</t>
  </si>
  <si>
    <t>5.4 동결본·시험 사례</t>
  </si>
  <si>
    <t>완료율·유용성 평가·불필요한 유보와 막힌 단계 기록.</t>
  </si>
  <si>
    <t>FR-05, FR-09, FR-12, FR-14, FR-15, FR-17~FR-20, NFR-07</t>
  </si>
  <si>
    <t>외부 대리 사용자 참여는 확정하지 않음. 자기평가 변화와 실제 역량 향상 구분.</t>
  </si>
  <si>
    <t>수자원공사 규정·AI 학습자료 조사</t>
  </si>
  <si>
    <t>이준희, 오호민</t>
  </si>
  <si>
    <t>통합 시험 결함 수정과 영향 범위 재검증. 서비스 테스트 결과와 남은 제한 정리.</t>
  </si>
  <si>
    <t>6.1·6.2 결함</t>
  </si>
  <si>
    <t>11/13 서비스 테스트 보고서·재검증 근거.</t>
  </si>
  <si>
    <t>NFR-07</t>
  </si>
  <si>
    <t>동결 후 범위 추가는 별도 협의. 결함 해결과 추가 기능을 구분.</t>
  </si>
  <si>
    <t>개발 착수 및 저장소 구축</t>
  </si>
  <si>
    <t>웹 애플리케이션 실행·권한·저장·복구·환경 설정·배포 상태 확인.</t>
  </si>
  <si>
    <t>6.3 검증본</t>
  </si>
  <si>
    <t>11/20 제출 가능한 웹 앱과 실행 안내. 비밀키·개인 정보 미노출 확인.</t>
  </si>
  <si>
    <t>FR-01, NFR-02, NFR-06</t>
  </si>
  <si>
    <t>배포 완료 여부는 실제 실행으로 확인.</t>
  </si>
  <si>
    <t>최종 산출물과 실행법·설계·실험·한계를 정리. 코드와 대용량 외부 산출물 위치·버전 연결.</t>
  </si>
  <si>
    <t>6.3, 5.3 실험 보고서</t>
  </si>
  <si>
    <t>최종 보고서·소스코드·모델/데이터 manifest와 링크 확인.</t>
  </si>
  <si>
    <t>Git 저장소 및 소통 DM, 노션 생성</t>
  </si>
  <si>
    <t>NFR-02, NFR-06, NFR-07</t>
  </si>
  <si>
    <t>11/20 최종 제출. Git 커밋·푸시는 별도 승인과 팀 절차 적용.</t>
  </si>
  <si>
    <t>점검·로드맵·교육 DB 및 ERD 설계</t>
  </si>
  <si>
    <t>규정 상담, 후보 비교·선택·수정·확정, 실행·사후 점검·결과 보고서 시연. 첫 시연은 가상 개발/운영 직원의 RAG 학습.</t>
  </si>
  <si>
    <t>6.3·7.1, 고정 시연 자료</t>
  </si>
  <si>
    <t>오호민, 신가을</t>
  </si>
  <si>
    <t>실제 모델 추론과 가상 데이터 사용 범위를 구분한 시연 영상.</t>
  </si>
  <si>
    <t>FR-07, FR-09, FR-10, FR-12, FR-14, FR-15, FR-17~FR-20</t>
  </si>
  <si>
    <t>팀원이 직접 만든 RAG 시제품을 서비스가 자동 제작한다고 표현하지 않음.</t>
  </si>
  <si>
    <t>문제·대상·설계·데이터·모델·검증 결과와 남은 과제 발표. 역할별 설명과 시연 점검.</t>
  </si>
  <si>
    <t>7.1~7.3</t>
  </si>
  <si>
    <t>11/20 최종 발표·시연영상·웹 앱·소스 제출 확인.</t>
  </si>
  <si>
    <t>규정·학습자료 전처리 및 청킹</t>
  </si>
  <si>
    <t>송지섭, 신가을</t>
  </si>
  <si>
    <t>실측 근거와 팀 검토 후 제출. AI 작성만으로 사람 검토 완료 표시 금지.</t>
  </si>
  <si>
    <t>4단계 세부 분담안 · 아래 항목은 기존 작업의 구성 내용이며 별도 확정된 WBS 번호가 아님</t>
  </si>
  <si>
    <t>요청 3분류 데이터셋 구축·분할</t>
  </si>
  <si>
    <t>이준희</t>
  </si>
  <si>
    <t>4.2</t>
  </si>
  <si>
    <t>규정 상담·챗봇</t>
  </si>
  <si>
    <t>근거 답변·지원 조건 확인·요청 분기·확인 대기/재개.</t>
  </si>
  <si>
    <t>규정 근거표·분류 모델·상태 계약</t>
  </si>
  <si>
    <t>불명확 질문 안내, 근거 부족 표시, 지원 조건이 계획 작성으로 복귀.</t>
  </si>
  <si>
    <t>FR-07, FR-13, FR-20</t>
  </si>
  <si>
    <t>1차 / 분담 필요</t>
  </si>
  <si>
    <t>재작성 횟수·중단 조건은 미정.</t>
  </si>
  <si>
    <t>4.3</t>
  </si>
  <si>
    <t>후보 생성·비교</t>
  </si>
  <si>
    <t>같은 목표·한도에서 관점별 3안 작성·비교 보고서.</t>
  </si>
  <si>
    <t>시작점·관점·검색 자료·출력 계약</t>
  </si>
  <si>
    <t>단계·기간·비용·장단점 비교, 미확인 지원과 실습 과제 구분.</t>
  </si>
  <si>
    <t>중간발표 자료 작성 및 발표 준비</t>
  </si>
  <si>
    <t>FR-02, FR-08, FR-10, FR-15, NFR-05</t>
  </si>
  <si>
    <t>관점 구성은 협의. 한 GPU의 속도 개선을 보장하지 않음.</t>
  </si>
  <si>
    <t>김영석</t>
  </si>
  <si>
    <t>선택·부분 수정</t>
  </si>
  <si>
    <t>선택 결과 기록, 선택 관점만 수정.</t>
  </si>
  <si>
    <t>후보 ID·유지 조건</t>
  </si>
  <si>
    <t>요청 부분 수정·기존 조건 유지, 확인·확정 경로 연결.</t>
  </si>
  <si>
    <t>FR-09, FR-17</t>
  </si>
  <si>
    <t>작성 조건 변경·관점 교체는 후속.</t>
  </si>
  <si>
    <t>4.5</t>
  </si>
  <si>
    <t>사전 점검·시작점</t>
  </si>
  <si>
    <t>목표·조건 입력과 학습 선호 대화, 개인별 문항 생성·응답, 점수 계산(화면 비표시)·시작점 제안·사용자 조정.</t>
  </si>
  <si>
    <t>모델 개발 및 RAG 구축</t>
  </si>
  <si>
    <t>문항 수·생성 규칙·점수·시작점 기준</t>
  </si>
  <si>
    <t>생성 문항 검사, 응답·계산·요약 일치, 사용자 시작 단계 변경.</t>
  </si>
  <si>
    <t>FR-05, FR-14</t>
  </si>
  <si>
    <t>1차 / 기준 협의</t>
  </si>
  <si>
    <t>4.3과 공통 입출력 계약으로 병행 개발.</t>
  </si>
  <si>
    <t>실행 기록·사후 점검</t>
  </si>
  <si>
    <t>체크리스트·메모·선택 첨부·화면 알림, 사후 설문·결과 보고.</t>
  </si>
  <si>
    <t>확정 계획·동일 설문·기록 구조</t>
  </si>
  <si>
    <t>기록·계산·보고서 일치. 사전 응답 부재 처리와 사용자 결과 확인.</t>
  </si>
  <si>
    <t>FR-12, FR-18</t>
  </si>
  <si>
    <t>계산·저장은 프로그램. 증빙 미제출을 미수행으로 보지 않음.</t>
  </si>
  <si>
    <t>4.6</t>
  </si>
  <si>
    <t>검사·확정·저장</t>
  </si>
  <si>
    <t>권한·형식·자료 ID·시간/예산 검사, 확인·확정 후 버전 저장.</t>
  </si>
  <si>
    <t>출력 계약·저장소·재작성 기준</t>
  </si>
  <si>
    <t>확정 전 계획 유지·중복 저장 방지·중단 복구·실패 사유 기록.</t>
  </si>
  <si>
    <t>FR-01, FR-04, FR-09, FR-11, NFR-02</t>
  </si>
  <si>
    <t>4.6 현재 일정은 10/29~10/30. 세부 담당·선행 착수 필요 여부는 팀 검토. 자동 재작성 횟수는 미정. 기관 공식 승인·결재와 구분.</t>
  </si>
  <si>
    <t>상급자 열람·코멘트</t>
  </si>
  <si>
    <t>허용된 확정 계획·진행 상태 열람, 코멘트·사용자 반영 요청.</t>
  </si>
  <si>
    <t>소속·공개 항목·공유 시점 권한표</t>
  </si>
  <si>
    <t>개인 응답·메모 비공개. 사용자 요청·확정 없이 계획 변경 금지.</t>
  </si>
  <si>
    <t>FR-01, FR-17, FR-19</t>
  </si>
  <si>
    <t>1차 / 권한 협의</t>
  </si>
  <si>
    <t>평가·결재 기능 제외. 4.3의 수정 경로 연결.</t>
  </si>
  <si>
    <t>요청 분류 ML/DL 2종 학습·비교</t>
  </si>
  <si>
    <t>자료 운영·버전</t>
  </si>
  <si>
    <t>규정·직원·기준자료 등록·수정, 추출값 원문 대조·버전 관리.</t>
  </si>
  <si>
    <t>권한표·메타데이터·원문 저장</t>
  </si>
  <si>
    <t>일반 사용자 수정 차단, 시행 시점에 맞는 자료 조회.</t>
  </si>
  <si>
    <t>FR-06, NFR-06</t>
  </si>
  <si>
    <t>개인 계획 열람 권한과 분리. 부서 집계는 별도 협의.</t>
  </si>
  <si>
    <t>V13 산출물 마감 · 세부 작업 일정·담당은 기존 간트 기준, 변경은 팀 협의</t>
  </si>
  <si>
    <t>10/02</t>
  </si>
  <si>
    <t>요구사항 정의서·WBS</t>
  </si>
  <si>
    <t>규정·학습자료 색인 및 권한 필터</t>
  </si>
  <si>
    <t>10/08</t>
  </si>
  <si>
    <t>기획서·수집 데이터 보고서·화면 설계서</t>
  </si>
  <si>
    <t>10/16</t>
  </si>
  <si>
    <t>DB 설계·전처리 결과서·중간발표</t>
  </si>
  <si>
    <t>10/23</t>
  </si>
  <si>
    <t>ML/DL 학습결과서·학습 모델·벡터DB 결과서</t>
  </si>
  <si>
    <t>10/30</t>
  </si>
  <si>
    <t>AI 시스템 아키텍처</t>
  </si>
  <si>
    <t>K-MOOC 연동 및 학습자료 DB 구축</t>
  </si>
  <si>
    <t>11/06</t>
  </si>
  <si>
    <t>멀티에이전트 테스트 보고서(필요시 sLLM 파인튜닝 평가 포함)·시스템 구성도·기능/모델 동결</t>
  </si>
  <si>
    <t>11/13</t>
  </si>
  <si>
    <t>서비스 테스트 보고서</t>
  </si>
  <si>
    <t>11/20</t>
  </si>
  <si>
    <t>웹 앱·최종 발표·소스코드·시연영상</t>
  </si>
  <si>
    <t>RDB 구축·직원/상급자 가상자료 적재</t>
  </si>
  <si>
    <t>진행률 및 팀 확인</t>
  </si>
  <si>
    <t>완료율 단위</t>
  </si>
  <si>
    <t>간트 완료율은 0~100 숫자로 통일. 이전 정규화 작업에서 H14의 내부값 1을 100으로 맞췄으며 표시 100%는 유지했다. 최신 진행률과 단계 평균은 간트 H열을 기준으로 확인한다.</t>
  </si>
  <si>
    <t>5.2 모델 후보 비교는 시간·예산 여유 시 실시. H35 필수 작업 평균에서 제외. 기존 선택 작업의 일정과 진행 기록은 유지.</t>
  </si>
  <si>
    <t>에이전트 및 sLLM 구현</t>
  </si>
  <si>
    <t>분담·일정</t>
  </si>
  <si>
    <t>4.1 데이터 생성·전수 검토와 4.6 검사·저장·자료 운영이 일정에 집중됨. 세부 담당·검토자·공통 계약·선행 조건을 팀에서 확인. 기존 완료율이 V13 추가 범위 검토 완료를 뜻하지 않음.</t>
  </si>
  <si>
    <t>범위</t>
  </si>
  <si>
    <t>설문·관점·공개 범위·재작성 기준·모델·GPU 예산은 미정 또는 검토안. 승진·발령·보수·성과급 상담과 공식 평가·결재는 제외.</t>
  </si>
  <si>
    <t>sLLM 데이터·고정 시험 30건 준비</t>
  </si>
  <si>
    <t>규정 에이전트·챗봇 라우팅 구현</t>
  </si>
  <si>
    <t>로드맵 계획·관점별 3안 구현</t>
  </si>
  <si>
    <t>오호민, 김영석</t>
  </si>
  <si>
    <t>sLLM 요건 확인·LoRA/QLoRA 학습/서빙</t>
  </si>
  <si>
    <t>진단 에이전트·점검/결과 보고 구현</t>
  </si>
  <si>
    <t>공통 검사·확정/저장·자료 운영</t>
  </si>
  <si>
    <t>비교 실험 및 기능 동결</t>
  </si>
  <si>
    <t>구성·학습·후보 방식 비교(A/B/C/E/F/G)</t>
  </si>
  <si>
    <t>모델 후보 비교(D, 선택 실험)</t>
  </si>
  <si>
    <t>비교 분석·멀티에이전트 보고서 작성</t>
  </si>
  <si>
    <t>시스템 구성도·코드/기능·모델 동결</t>
  </si>
  <si>
    <t>통합 테스트 및 결함 개선</t>
  </si>
  <si>
    <t>권한·세션·저장·공개 범위 테스트</t>
  </si>
  <si>
    <t>팀원 5명 사례·전 과정 흐름 검증</t>
  </si>
  <si>
    <t>결함·예외 보강 및 서비스 시험 보고</t>
  </si>
  <si>
    <t>최종 패키징 및 발표</t>
  </si>
  <si>
    <t>최종 웹 어플리케이션 배포 환경 점검</t>
  </si>
  <si>
    <t>최종 보고서 작성 및 GitHub 코드 정리</t>
  </si>
  <si>
    <t>시연 시나리오 3종 영상 녹화 및 편집</t>
  </si>
  <si>
    <t>최종 발표 자료 작성 및 발표 리허설</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</si>
</sst>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
    <numFmt numFmtId="165" formatCode="yy&quot;년 &quot;m&quot;월 &quot;d&quot;일&quot;"/>
    <numFmt numFmtId="166" formatCode="m/d &quot;(월)&quot;"/>
    <numFmt numFmtId="167" formatCode="m/d &quot;(화)&quot;"/>
    <numFmt numFmtId="168" formatCode="m/d &quot;(수)&quot;"/>
    <numFmt numFmtId="169" formatCode="m/d &quot;(목)&quot;"/>
    <numFmt numFmtId="170" formatCode="m/d &quot;(금)&quot;"/>
    <numFmt numFmtId="171" formatCode="yyyy-mm-dd"/>
    <numFmt numFmtId="172" formatCode="0&quot;%&quot;"/>
    <numFmt numFmtId="173" formatCode="&quot;$&quot;#,##0.00"/>
    <numFmt numFmtId="174" formatCode="yy년 m월 d일"/>
  </numFmts>
  <fonts count="41">
    <font>
      <sz val="10.0"/>
      <color rgb="FF000000"/>
      <name val="Arial"/>
      <scheme val="minor"/>
    </font>
    <font>
      <sz val="11.0"/>
      <color theme="1"/>
      <name val="Poppins"/>
    </font>
    <font>
      <b/>
      <sz val="30.0"/>
      <color rgb="FF0B5394"/>
      <name val="Poppins"/>
    </font>
    <font>
      <b/>
      <sz val="14.0"/>
      <color theme="1"/>
      <name val="Arial"/>
    </font>
    <font>
      <b/>
      <sz val="11.0"/>
      <color rgb="FF0B5394"/>
      <name val="Poppins"/>
    </font>
    <font>
      <color theme="1"/>
      <name val="Poppins"/>
    </font>
    <font>
      <sz val="11.0"/>
      <color rgb="FF000000"/>
      <name val="Poppins"/>
    </font>
    <font>
      <sz val="10.0"/>
      <color theme="1"/>
      <name val="Arial"/>
    </font>
    <font>
      <sz val="11.0"/>
      <color rgb="FFFFFFFF"/>
      <name val="Poppins"/>
    </font>
    <font>
      <b/>
      <sz val="10.0"/>
      <color theme="1"/>
      <name val="Arial"/>
    </font>
    <font>
      <b/>
      <sz val="30.0"/>
      <color rgb="FF0B5394"/>
      <name val="Roboto"/>
    </font>
    <font/>
    <font>
      <b/>
      <sz val="32.0"/>
      <color rgb="FF0B5394"/>
      <name val="Roboto"/>
    </font>
    <font>
      <b/>
      <sz val="12.0"/>
      <color rgb="FF0B5394"/>
      <name val="Roboto"/>
    </font>
    <font>
      <sz val="12.0"/>
      <color rgb="FF0B5394"/>
      <name val="Roboto"/>
    </font>
    <font>
      <sz val="12.0"/>
      <color rgb="FF000000"/>
      <name val="Poppins"/>
    </font>
    <font>
      <b/>
      <sz val="11.0"/>
      <color rgb="FF434343"/>
      <name val="Poppins"/>
    </font>
    <font>
      <sz val="11.0"/>
      <color rgb="FF434343"/>
      <name val="Poppins"/>
    </font>
    <font>
      <sz val="11.0"/>
      <color rgb="FF000000"/>
      <name val="Century Gothic"/>
    </font>
    <font>
      <sz val="11.0"/>
      <color theme="1"/>
      <name val="Century Gothic"/>
    </font>
    <font>
      <b/>
      <sz val="10.0"/>
      <color rgb="FF666666"/>
      <name val="Roboto"/>
    </font>
    <font>
      <sz val="10.0"/>
      <color rgb="FF999999"/>
      <name val="Roboto"/>
    </font>
    <font>
      <b/>
      <sz val="9.0"/>
      <color rgb="FF26384A"/>
      <name val="Roboto"/>
    </font>
    <font>
      <sz val="9.0"/>
      <color rgb="FF26384A"/>
      <name val="Roboto"/>
    </font>
    <font>
      <sz val="11.0"/>
      <color theme="1"/>
      <name val="Roboto"/>
    </font>
    <font>
      <sz val="11.0"/>
      <color rgb="FF000000"/>
      <name val="Roboto"/>
    </font>
    <font>
      <i/>
      <sz val="9.0"/>
      <color rgb="FF627486"/>
      <name val="Roboto"/>
    </font>
    <font>
      <b/>
      <sz val="9.0"/>
      <color rgb="FFFFFFFF"/>
      <name val="Roboto"/>
    </font>
    <font>
      <b/>
      <sz val="9.0"/>
      <color rgb="FF68447B"/>
      <name val="Roboto"/>
    </font>
    <font>
      <b/>
      <sz val="10.0"/>
      <color rgb="FF26384A"/>
      <name val="Roboto"/>
    </font>
    <font>
      <b/>
      <sz val="8.0"/>
      <color theme="1"/>
      <name val="Roboto"/>
    </font>
    <font>
      <sz val="9.0"/>
      <color theme="1"/>
      <name val="Roboto"/>
    </font>
    <font>
      <b/>
      <sz val="9.0"/>
      <color rgb="FF758391"/>
      <name val="Roboto"/>
    </font>
    <font>
      <b/>
      <sz val="11.0"/>
      <color rgb="FF000000"/>
      <name val="Roboto"/>
    </font>
    <font>
      <b/>
      <sz val="10.0"/>
      <color rgb="FF000000"/>
      <name val="Roboto"/>
    </font>
    <font>
      <sz val="10.0"/>
      <color theme="1"/>
      <name val="Roboto"/>
    </font>
    <font>
      <sz val="10.0"/>
      <color rgb="FF434343"/>
      <name val="Roboto"/>
    </font>
    <font>
      <color theme="1"/>
      <name val="Arial"/>
    </font>
    <font>
      <b/>
      <sz val="11.0"/>
      <color theme="1"/>
      <name val="Arial"/>
    </font>
    <font>
      <b/>
      <sz val="10.0"/>
      <color rgb="FF68447B"/>
      <name val="Roboto"/>
    </font>
    <font>
      <color rgb="FF434343"/>
      <name val="Roboto"/>
    </font>
  </fonts>
  <fills count="22">
    <fill>
      <patternFill patternType="none"/>
    </fill>
    <fill>
      <patternFill patternType="lightGray"/>
    </fill>
    <fill>
      <patternFill patternType="solid">
        <fgColor rgb="FFFFFFFF"/>
        <bgColor rgb="FFFFFFFF"/>
      </patternFill>
    </fill>
    <fill>
      <patternFill patternType="solid">
        <fgColor rgb="FFD8D8D8"/>
        <bgColor rgb="FFD8D8D8"/>
      </patternFill>
    </fill>
    <fill>
      <patternFill patternType="solid">
        <fgColor rgb="FFE8F0F7"/>
        <bgColor rgb="FFE8F0F7"/>
      </patternFill>
    </fill>
    <fill>
      <patternFill patternType="solid">
        <fgColor rgb="FFF5F7F9"/>
        <bgColor rgb="FFF5F7F9"/>
      </patternFill>
    </fill>
    <fill>
      <patternFill patternType="solid">
        <fgColor rgb="FFBFE2DA"/>
        <bgColor rgb="FFBFE2DA"/>
      </patternFill>
    </fill>
    <fill>
      <patternFill patternType="solid">
        <fgColor rgb="FF599A91"/>
        <bgColor rgb="FF599A91"/>
      </patternFill>
    </fill>
    <fill>
      <patternFill patternType="solid">
        <fgColor rgb="FFE8D7F2"/>
        <bgColor rgb="FFE8D7F2"/>
      </patternFill>
    </fill>
    <fill>
      <patternFill patternType="solid">
        <fgColor rgb="FFBFD8EF"/>
        <bgColor rgb="FFBFD8EF"/>
      </patternFill>
    </fill>
    <fill>
      <patternFill patternType="solid">
        <fgColor rgb="FFBFE2DB"/>
        <bgColor rgb="FFBFE2DB"/>
      </patternFill>
    </fill>
    <fill>
      <patternFill patternType="solid">
        <fgColor rgb="FFE3D3EB"/>
        <bgColor rgb="FFE3D3EB"/>
      </patternFill>
    </fill>
    <fill>
      <patternFill patternType="solid">
        <fgColor rgb="FFEAF3FA"/>
        <bgColor rgb="FFEAF3FA"/>
      </patternFill>
    </fill>
    <fill>
      <patternFill patternType="solid">
        <fgColor rgb="FFEBEEF1"/>
        <bgColor rgb="FFEBEEF1"/>
      </patternFill>
    </fill>
    <fill>
      <patternFill patternType="solid">
        <fgColor rgb="FFE7F4F1"/>
        <bgColor rgb="FFE7F4F1"/>
      </patternFill>
    </fill>
    <fill>
      <patternFill patternType="solid">
        <fgColor rgb="FFF2EAF5"/>
        <bgColor rgb="FFF2EAF5"/>
      </patternFill>
    </fill>
    <fill>
      <patternFill patternType="solid">
        <fgColor rgb="FFCCCCCC"/>
        <bgColor rgb="FFCCCCCC"/>
      </patternFill>
    </fill>
    <fill>
      <patternFill patternType="solid">
        <fgColor rgb="FFEDF2F6"/>
        <bgColor rgb="FFEDF2F6"/>
      </patternFill>
    </fill>
    <fill>
      <patternFill patternType="solid">
        <fgColor rgb="FFF8F2FB"/>
        <bgColor rgb="FFF8F2FB"/>
      </patternFill>
    </fill>
    <fill>
      <patternFill patternType="solid">
        <fgColor rgb="FFFFF3DA"/>
        <bgColor rgb="FFFFF3DA"/>
      </patternFill>
    </fill>
    <fill>
      <patternFill patternType="solid">
        <fgColor rgb="FFE5E5E5"/>
        <bgColor rgb="FFE5E5E5"/>
      </patternFill>
    </fill>
    <fill>
      <patternFill patternType="solid">
        <fgColor rgb="FFF1E8F7"/>
        <bgColor rgb="FFF1E8F7"/>
      </patternFill>
    </fill>
  </fills>
  <borders count="11">
    <border/>
    <border>
      <bottom style="thick">
        <color rgb="FF0B5394"/>
      </bottom>
    </border>
    <border>
      <bottom style="thin">
        <color rgb="FFD9D9D9"/>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CCD8E2"/>
      </left>
      <right style="thin">
        <color rgb="FF000000"/>
      </right>
      <top style="thin">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horizontal="center" shrinkToFit="0" vertical="center" wrapText="0"/>
    </xf>
    <xf borderId="0" fillId="0" fontId="3" numFmtId="0" xfId="0" applyAlignment="1" applyFont="1">
      <alignment shrinkToFit="0" vertical="top" wrapText="1"/>
    </xf>
    <xf borderId="0" fillId="2" fontId="4" numFmtId="0" xfId="0" applyAlignment="1" applyFill="1" applyFont="1">
      <alignment horizontal="center" shrinkToFit="0" vertical="center" wrapText="0"/>
    </xf>
    <xf borderId="0" fillId="0" fontId="5" numFmtId="0" xfId="0" applyAlignment="1" applyFont="1">
      <alignment horizontal="center" vertical="center"/>
    </xf>
    <xf borderId="0" fillId="0" fontId="5" numFmtId="0" xfId="0" applyAlignment="1" applyFont="1">
      <alignment vertical="center"/>
    </xf>
    <xf borderId="0" fillId="2" fontId="4" numFmtId="0" xfId="0" applyAlignment="1" applyFill="1" applyFont="1">
      <alignment shrinkToFit="0" vertical="center" wrapText="0"/>
    </xf>
    <xf borderId="0" fillId="2" fontId="6" numFmtId="0" xfId="0" applyAlignment="1" applyFill="1" applyFont="1">
      <alignment horizontal="center" shrinkToFit="0" vertical="center" wrapText="0"/>
    </xf>
    <xf borderId="0" fillId="2" fontId="6" numFmtId="0" xfId="0" applyAlignment="1" applyFill="1" applyFont="1">
      <alignment shrinkToFit="0" vertical="center" wrapText="0"/>
    </xf>
    <xf borderId="0" fillId="0" fontId="7" numFmtId="0" xfId="0" applyAlignment="1" applyFont="1">
      <alignment shrinkToFit="0" vertical="top" wrapText="1"/>
    </xf>
    <xf borderId="0" fillId="0" fontId="6" numFmtId="0" xfId="0" applyAlignment="1" applyFont="1">
      <alignment horizontal="left" shrinkToFit="0" vertical="center" wrapText="0"/>
    </xf>
    <xf borderId="0" fillId="0" fontId="8" numFmtId="0" xfId="0" applyAlignment="1" applyFont="1">
      <alignment vertical="center"/>
    </xf>
    <xf borderId="0" fillId="3" fontId="9" numFmtId="0" xfId="0" applyAlignment="1" applyFill="1" applyFont="1">
      <alignment horizontal="center" shrinkToFit="0" vertical="center" wrapText="1"/>
    </xf>
    <xf borderId="1" fillId="2" fontId="10" numFmtId="0" xfId="0" applyAlignment="1" applyBorder="1" applyFill="1" applyFont="1">
      <alignment horizontal="center" shrinkToFit="0" vertical="center" wrapText="0"/>
    </xf>
    <xf borderId="1" fillId="0" fontId="11" numFmtId="0" xfId="0" applyBorder="1" applyFont="1"/>
    <xf borderId="1" fillId="2" fontId="12" numFmtId="0" xfId="0" applyAlignment="1" applyBorder="1" applyFill="1" applyFont="1">
      <alignment shrinkToFit="0" vertical="center" wrapText="0"/>
    </xf>
    <xf borderId="1" fillId="2" fontId="13" numFmtId="0" xfId="0" applyAlignment="1" applyBorder="1" applyFill="1" applyFont="1">
      <alignment shrinkToFit="0" vertical="center" wrapText="1"/>
    </xf>
    <xf borderId="1" fillId="2" fontId="14" numFmtId="0" xfId="0" applyAlignment="1" applyBorder="1" applyFill="1" applyFont="1">
      <alignment shrinkToFit="0" vertical="center" wrapText="1"/>
    </xf>
    <xf borderId="0" fillId="2" fontId="15" numFmtId="0" xfId="0" applyAlignment="1" applyFill="1" applyFont="1">
      <alignment shrinkToFit="0" vertical="center" wrapText="0"/>
    </xf>
    <xf borderId="0" fillId="0" fontId="16" numFmtId="0" xfId="0" applyAlignment="1" applyFont="1">
      <alignment horizontal="center" shrinkToFit="0" vertical="center" wrapText="0"/>
    </xf>
    <xf borderId="0" fillId="2" fontId="17" numFmtId="0" xfId="0" applyAlignment="1" applyFill="1" applyFont="1">
      <alignment horizontal="center" shrinkToFit="0" vertical="center" wrapText="0"/>
    </xf>
    <xf borderId="0" fillId="2" fontId="17" numFmtId="0" xfId="0" applyAlignment="1" applyFill="1" applyFont="1">
      <alignment shrinkToFit="0" vertical="center" wrapText="0"/>
    </xf>
    <xf borderId="0" fillId="2" fontId="18" numFmtId="0" xfId="0" applyAlignment="1" applyFill="1" applyFont="1">
      <alignment shrinkToFit="0" vertical="center" wrapText="0"/>
    </xf>
    <xf borderId="0" fillId="0" fontId="7" numFmtId="0" xfId="0" applyAlignment="1" applyFont="1">
      <alignment readingOrder="0" shrinkToFit="0" vertical="top" wrapText="1"/>
    </xf>
    <xf borderId="0" fillId="0" fontId="19" numFmtId="0" xfId="0" applyAlignment="1" applyFont="1">
      <alignment vertical="center"/>
    </xf>
    <xf borderId="2" fillId="0" fontId="20" numFmtId="0" xfId="0" applyAlignment="1" applyBorder="1" applyFont="1">
      <alignment horizontal="center" shrinkToFit="0" vertical="center" wrapText="0"/>
    </xf>
    <xf borderId="2" fillId="0" fontId="11" numFmtId="0" xfId="0" applyBorder="1" applyFont="1"/>
    <xf borderId="2" fillId="2" fontId="21" numFmtId="0" xfId="0" applyAlignment="1" applyBorder="1" applyFill="1" applyFont="1">
      <alignment horizontal="center" readingOrder="0" shrinkToFit="0" vertical="center" wrapText="0"/>
    </xf>
    <xf borderId="0" fillId="2" fontId="21" numFmtId="0" xfId="0" applyAlignment="1" applyFill="1" applyFont="1">
      <alignment shrinkToFit="0" vertical="center" wrapText="0"/>
    </xf>
    <xf borderId="0" fillId="4" fontId="22" numFmtId="0" xfId="0" applyAlignment="1" applyFill="1" applyFont="1">
      <alignment vertical="center"/>
    </xf>
    <xf borderId="2" fillId="0" fontId="21" numFmtId="0" xfId="0" applyAlignment="1" applyBorder="1" applyFont="1">
      <alignment horizontal="center" shrinkToFit="0" vertical="center" wrapText="0"/>
    </xf>
    <xf borderId="0" fillId="0" fontId="21" numFmtId="0" xfId="0" applyAlignment="1" applyFont="1">
      <alignment shrinkToFit="0" vertical="center" wrapText="0"/>
    </xf>
    <xf borderId="0" fillId="5" fontId="23" numFmtId="164" xfId="0" applyAlignment="1" applyFill="1" applyFont="1" applyNumberFormat="1">
      <alignment vertical="center"/>
    </xf>
    <xf borderId="0" fillId="5" fontId="23" numFmtId="0" xfId="0" applyAlignment="1" applyFill="1" applyFont="1">
      <alignment vertical="center"/>
    </xf>
    <xf borderId="0" fillId="0" fontId="7" numFmtId="0" xfId="0" applyAlignment="1" applyFont="1">
      <alignment readingOrder="0" shrinkToFit="0" vertical="top" wrapText="1"/>
    </xf>
    <xf borderId="0" fillId="0" fontId="1" numFmtId="0" xfId="0" applyFont="1"/>
    <xf borderId="0" fillId="0" fontId="24" numFmtId="0" xfId="0" applyAlignment="1" applyFont="1">
      <alignment vertical="center"/>
    </xf>
    <xf borderId="2" fillId="0" fontId="21" numFmtId="165" xfId="0" applyAlignment="1" applyBorder="1" applyFont="1" applyNumberFormat="1">
      <alignment horizontal="center" readingOrder="0" vertical="center"/>
    </xf>
    <xf borderId="0" fillId="2" fontId="25" numFmtId="0" xfId="0" applyAlignment="1" applyFill="1" applyFont="1">
      <alignment horizontal="center" shrinkToFit="0" vertical="center" wrapText="0"/>
    </xf>
    <xf borderId="0" fillId="5" fontId="23" numFmtId="164" xfId="0" applyAlignment="1" applyFill="1" applyFont="1" applyNumberFormat="1">
      <alignment shrinkToFit="0" vertical="center" wrapText="0"/>
    </xf>
    <xf borderId="0" fillId="5" fontId="23" numFmtId="0" xfId="0" applyAlignment="1" applyFill="1" applyFont="1">
      <alignment shrinkToFit="0" vertical="center" wrapText="0"/>
    </xf>
    <xf borderId="0" fillId="2" fontId="25" numFmtId="0" xfId="0" applyAlignment="1" applyFill="1" applyFont="1">
      <alignment shrinkToFit="0" vertical="center" wrapText="0"/>
    </xf>
    <xf borderId="0" fillId="2" fontId="26" numFmtId="0" xfId="0" applyAlignment="1" applyFill="1" applyFont="1">
      <alignment horizontal="center" shrinkToFit="0" vertical="center" wrapText="0"/>
    </xf>
    <xf borderId="0" fillId="6" fontId="22" numFmtId="0" xfId="0" applyAlignment="1" applyFill="1" applyFont="1">
      <alignment horizontal="center" shrinkToFit="0" vertical="center" wrapText="0"/>
    </xf>
    <xf borderId="0" fillId="7" fontId="27" numFmtId="0" xfId="0" applyAlignment="1" applyFill="1" applyFont="1">
      <alignment horizontal="center" shrinkToFit="0" vertical="center" wrapText="0"/>
    </xf>
    <xf borderId="0" fillId="8" fontId="28" numFmtId="0" xfId="0" applyAlignment="1" applyFill="1" applyFont="1">
      <alignment horizontal="center" vertical="center"/>
    </xf>
    <xf borderId="0" fillId="0" fontId="25" numFmtId="0" xfId="0" applyAlignment="1" applyFont="1">
      <alignment shrinkToFit="0" vertical="center" wrapText="0"/>
    </xf>
    <xf borderId="3" fillId="4" fontId="29" numFmtId="0" xfId="0" applyAlignment="1" applyBorder="1" applyFill="1" applyFont="1">
      <alignment horizontal="center" shrinkToFit="0" vertical="center" wrapText="1"/>
    </xf>
    <xf borderId="4" fillId="9" fontId="29" numFmtId="0" xfId="0" applyAlignment="1" applyBorder="1" applyFill="1" applyFont="1">
      <alignment horizontal="center" shrinkToFit="0" vertical="center" wrapText="0"/>
    </xf>
    <xf borderId="5" fillId="0" fontId="11" numFmtId="0" xfId="0" applyBorder="1" applyFont="1"/>
    <xf borderId="6" fillId="0" fontId="11" numFmtId="0" xfId="0" applyBorder="1" applyFont="1"/>
    <xf borderId="4" fillId="10" fontId="29" numFmtId="0" xfId="0" applyAlignment="1" applyBorder="1" applyFill="1" applyFont="1">
      <alignment horizontal="center" shrinkToFit="0" vertical="center" wrapText="0"/>
    </xf>
    <xf borderId="4" fillId="11" fontId="29" numFmtId="0" xfId="0" applyAlignment="1" applyBorder="1" applyFill="1" applyFont="1">
      <alignment horizontal="center" shrinkToFit="0" vertical="center" wrapText="0"/>
    </xf>
    <xf borderId="0" fillId="0" fontId="30" numFmtId="0" xfId="0" applyAlignment="1" applyFont="1">
      <alignment vertical="center"/>
    </xf>
    <xf borderId="7" fillId="0" fontId="11" numFmtId="0" xfId="0" applyBorder="1" applyFont="1"/>
    <xf borderId="0" fillId="0" fontId="31" numFmtId="0" xfId="0" applyAlignment="1" applyFont="1">
      <alignment vertical="center"/>
    </xf>
    <xf borderId="8" fillId="0" fontId="11" numFmtId="0" xfId="0" applyBorder="1" applyFont="1"/>
    <xf borderId="9" fillId="12" fontId="22" numFmtId="166" xfId="0" applyAlignment="1" applyBorder="1" applyFill="1" applyFont="1" applyNumberFormat="1">
      <alignment horizontal="center" shrinkToFit="0" vertical="center" wrapText="0"/>
    </xf>
    <xf borderId="9" fillId="12" fontId="22" numFmtId="167" xfId="0" applyAlignment="1" applyBorder="1" applyFill="1" applyFont="1" applyNumberFormat="1">
      <alignment horizontal="center" shrinkToFit="0" vertical="center" wrapText="0"/>
    </xf>
    <xf borderId="9" fillId="12" fontId="22" numFmtId="168" xfId="0" applyAlignment="1" applyBorder="1" applyFill="1" applyFont="1" applyNumberFormat="1">
      <alignment horizontal="center" shrinkToFit="0" vertical="center" wrapText="0"/>
    </xf>
    <xf borderId="9" fillId="12" fontId="22" numFmtId="169" xfId="0" applyAlignment="1" applyBorder="1" applyFill="1" applyFont="1" applyNumberFormat="1">
      <alignment horizontal="center" shrinkToFit="0" vertical="center" wrapText="0"/>
    </xf>
    <xf borderId="9" fillId="12" fontId="22" numFmtId="170" xfId="0" applyAlignment="1" applyBorder="1" applyFill="1" applyFont="1" applyNumberFormat="1">
      <alignment horizontal="center" shrinkToFit="0" vertical="center" wrapText="0"/>
    </xf>
    <xf borderId="9" fillId="13" fontId="32" numFmtId="166" xfId="0" applyAlignment="1" applyBorder="1" applyFill="1" applyFont="1" applyNumberFormat="1">
      <alignment horizontal="center" shrinkToFit="0" vertical="center" wrapText="0"/>
    </xf>
    <xf borderId="9" fillId="13" fontId="32" numFmtId="170" xfId="0" applyAlignment="1" applyBorder="1" applyFill="1" applyFont="1" applyNumberFormat="1">
      <alignment horizontal="center" shrinkToFit="0" vertical="center" wrapText="0"/>
    </xf>
    <xf borderId="9" fillId="8" fontId="28" numFmtId="170" xfId="0" applyAlignment="1" applyBorder="1" applyFill="1" applyFont="1" applyNumberFormat="1">
      <alignment horizontal="center" shrinkToFit="0" vertical="center" wrapText="0"/>
    </xf>
    <xf borderId="9" fillId="14" fontId="22" numFmtId="166" xfId="0" applyAlignment="1" applyBorder="1" applyFill="1" applyFont="1" applyNumberFormat="1">
      <alignment horizontal="center" shrinkToFit="0" vertical="center" wrapText="0"/>
    </xf>
    <xf borderId="9" fillId="14" fontId="22" numFmtId="167" xfId="0" applyAlignment="1" applyBorder="1" applyFill="1" applyFont="1" applyNumberFormat="1">
      <alignment horizontal="center" shrinkToFit="0" vertical="center" wrapText="0"/>
    </xf>
    <xf borderId="9" fillId="14" fontId="22" numFmtId="168" xfId="0" applyAlignment="1" applyBorder="1" applyFill="1" applyFont="1" applyNumberFormat="1">
      <alignment horizontal="center" shrinkToFit="0" vertical="center" wrapText="0"/>
    </xf>
    <xf borderId="9" fillId="14" fontId="22" numFmtId="169" xfId="0" applyAlignment="1" applyBorder="1" applyFill="1" applyFont="1" applyNumberFormat="1">
      <alignment horizontal="center" shrinkToFit="0" vertical="center" wrapText="0"/>
    </xf>
    <xf borderId="9" fillId="14" fontId="22" numFmtId="170" xfId="0" applyAlignment="1" applyBorder="1" applyFill="1" applyFont="1" applyNumberFormat="1">
      <alignment horizontal="center" shrinkToFit="0" vertical="center" wrapText="0"/>
    </xf>
    <xf borderId="9" fillId="15" fontId="22" numFmtId="166" xfId="0" applyAlignment="1" applyBorder="1" applyFill="1" applyFont="1" applyNumberFormat="1">
      <alignment horizontal="center" shrinkToFit="0" vertical="center" wrapText="0"/>
    </xf>
    <xf borderId="9" fillId="15" fontId="22" numFmtId="167" xfId="0" applyAlignment="1" applyBorder="1" applyFill="1" applyFont="1" applyNumberFormat="1">
      <alignment horizontal="center" shrinkToFit="0" vertical="center" wrapText="0"/>
    </xf>
    <xf borderId="9" fillId="15" fontId="22" numFmtId="168" xfId="0" applyAlignment="1" applyBorder="1" applyFill="1" applyFont="1" applyNumberFormat="1">
      <alignment horizontal="center" shrinkToFit="0" vertical="center" wrapText="0"/>
    </xf>
    <xf borderId="9" fillId="15" fontId="22" numFmtId="169" xfId="0" applyAlignment="1" applyBorder="1" applyFill="1" applyFont="1" applyNumberFormat="1">
      <alignment horizontal="center" shrinkToFit="0" vertical="center" wrapText="0"/>
    </xf>
    <xf borderId="9" fillId="15" fontId="22" numFmtId="170" xfId="0" applyAlignment="1" applyBorder="1" applyFill="1" applyFont="1" applyNumberFormat="1">
      <alignment horizontal="center" shrinkToFit="0" vertical="center" wrapText="0"/>
    </xf>
    <xf borderId="9" fillId="16" fontId="33" numFmtId="0" xfId="0" applyAlignment="1" applyBorder="1" applyFill="1" applyFont="1">
      <alignment horizontal="center" shrinkToFit="0" vertical="center" wrapText="1"/>
    </xf>
    <xf borderId="9" fillId="16" fontId="33" numFmtId="0" xfId="0" applyAlignment="1" applyBorder="1" applyFill="1" applyFont="1">
      <alignment horizontal="center" shrinkToFit="0" vertical="center" wrapText="0"/>
    </xf>
    <xf borderId="9" fillId="16" fontId="33" numFmtId="171" xfId="0" applyAlignment="1" applyBorder="1" applyFill="1" applyFont="1" applyNumberFormat="1">
      <alignment horizontal="center" shrinkToFit="0" vertical="center" wrapText="1"/>
    </xf>
    <xf borderId="9" fillId="16" fontId="33" numFmtId="1" xfId="0" applyAlignment="1" applyBorder="1" applyFill="1" applyFont="1" applyNumberFormat="1">
      <alignment horizontal="center" shrinkToFit="0" vertical="center" wrapText="1"/>
    </xf>
    <xf borderId="9" fillId="17" fontId="33" numFmtId="172" xfId="0" applyAlignment="1" applyBorder="1" applyFill="1" applyFont="1" applyNumberFormat="1">
      <alignment horizontal="center" shrinkToFit="0" vertical="center" wrapText="1"/>
    </xf>
    <xf borderId="9" fillId="17" fontId="33" numFmtId="0" xfId="0" applyAlignment="1" applyBorder="1" applyFill="1" applyFont="1">
      <alignment horizontal="center" shrinkToFit="0" vertical="center" wrapText="0"/>
    </xf>
    <xf borderId="9" fillId="13" fontId="33" numFmtId="0" xfId="0" applyAlignment="1" applyBorder="1" applyFill="1" applyFont="1">
      <alignment horizontal="center" shrinkToFit="0" vertical="center" wrapText="0"/>
    </xf>
    <xf borderId="9" fillId="18" fontId="34" numFmtId="0" xfId="0" applyAlignment="1" applyBorder="1" applyFill="1" applyFont="1">
      <alignment horizontal="center" shrinkToFit="0" vertical="center" wrapText="0"/>
    </xf>
    <xf borderId="0" fillId="0" fontId="35" numFmtId="0" xfId="0" applyAlignment="1" applyFont="1">
      <alignment vertical="center"/>
    </xf>
    <xf borderId="9" fillId="0" fontId="36" numFmtId="0" xfId="0" applyAlignment="1" applyBorder="1" applyFont="1">
      <alignment horizontal="center" shrinkToFit="0" vertical="center" wrapText="1"/>
    </xf>
    <xf borderId="9" fillId="0" fontId="36" numFmtId="0" xfId="0" applyAlignment="1" applyBorder="1" applyFont="1">
      <alignment horizontal="center" readingOrder="0" shrinkToFit="0" vertical="center" wrapText="1"/>
    </xf>
    <xf borderId="9" fillId="0" fontId="36" numFmtId="171" xfId="0" applyAlignment="1" applyBorder="1" applyFont="1" applyNumberFormat="1">
      <alignment horizontal="center" shrinkToFit="0" vertical="center" wrapText="1"/>
    </xf>
    <xf borderId="9" fillId="0" fontId="36" numFmtId="1" xfId="0" applyAlignment="1" applyBorder="1" applyFont="1" applyNumberFormat="1">
      <alignment horizontal="center" shrinkToFit="0" vertical="center" wrapText="1"/>
    </xf>
    <xf borderId="9" fillId="19" fontId="36" numFmtId="172" xfId="0" applyAlignment="1" applyBorder="1" applyFill="1" applyFont="1" applyNumberFormat="1">
      <alignment horizontal="center" readingOrder="0" shrinkToFit="0" vertical="center" wrapText="1"/>
    </xf>
    <xf borderId="9" fillId="2" fontId="34" numFmtId="173" xfId="0" applyAlignment="1" applyBorder="1" applyFill="1" applyFont="1" applyNumberFormat="1">
      <alignment horizontal="center" shrinkToFit="0" vertical="center" wrapText="0"/>
    </xf>
    <xf borderId="9" fillId="2" fontId="34" numFmtId="0" xfId="0" applyAlignment="1" applyBorder="1" applyFill="1" applyFont="1">
      <alignment horizontal="center" shrinkToFit="0" vertical="center" wrapText="0"/>
    </xf>
    <xf borderId="10" fillId="13" fontId="34" numFmtId="0" xfId="0" applyAlignment="1" applyBorder="1" applyFill="1" applyFont="1">
      <alignment horizontal="center" shrinkToFit="0" vertical="center" wrapText="0"/>
    </xf>
    <xf borderId="9" fillId="13" fontId="34" numFmtId="0" xfId="0" applyAlignment="1" applyBorder="1" applyFill="1" applyFont="1">
      <alignment horizontal="center" shrinkToFit="0" vertical="center" wrapText="0"/>
    </xf>
    <xf borderId="10" fillId="2" fontId="34" numFmtId="0" xfId="0" applyAlignment="1" applyBorder="1" applyFill="1" applyFont="1">
      <alignment horizontal="center" shrinkToFit="0" vertical="center" wrapText="0"/>
    </xf>
    <xf borderId="10" fillId="2" fontId="37" numFmtId="0" xfId="0" applyBorder="1" applyFill="1" applyFont="1"/>
    <xf borderId="9" fillId="19" fontId="36" numFmtId="172" xfId="0" applyAlignment="1" applyBorder="1" applyFill="1" applyFont="1" applyNumberFormat="1">
      <alignment horizontal="center" shrinkToFit="0" vertical="center" wrapText="1"/>
    </xf>
    <xf borderId="9" fillId="17" fontId="33" numFmtId="173" xfId="0" applyAlignment="1" applyBorder="1" applyFill="1" applyFont="1" applyNumberFormat="1">
      <alignment horizontal="center" shrinkToFit="0" vertical="center" wrapText="0"/>
    </xf>
    <xf borderId="10" fillId="13" fontId="33" numFmtId="0" xfId="0" applyAlignment="1" applyBorder="1" applyFill="1" applyFont="1">
      <alignment horizontal="center" shrinkToFit="0" vertical="center" wrapText="0"/>
    </xf>
    <xf borderId="10" fillId="17" fontId="33" numFmtId="0" xfId="0" applyAlignment="1" applyBorder="1" applyFill="1" applyFont="1">
      <alignment horizontal="center" shrinkToFit="0" vertical="center" wrapText="0"/>
    </xf>
    <xf borderId="9" fillId="18" fontId="33" numFmtId="0" xfId="0" applyAlignment="1" applyBorder="1" applyFill="1" applyFont="1">
      <alignment horizontal="center" shrinkToFit="0" vertical="center" wrapText="0"/>
    </xf>
    <xf borderId="10" fillId="17" fontId="37" numFmtId="0" xfId="0" applyBorder="1" applyFill="1" applyFont="1"/>
    <xf borderId="9" fillId="0" fontId="36" numFmtId="0" xfId="0" applyAlignment="1" applyBorder="1" applyFont="1">
      <alignment horizontal="center" readingOrder="0" shrinkToFit="0" vertical="center" wrapText="1"/>
    </xf>
    <xf borderId="0" fillId="20" fontId="38" numFmtId="0" xfId="0" applyAlignment="1" applyFill="1" applyFont="1">
      <alignment shrinkToFit="0" vertical="center" wrapText="1"/>
    </xf>
    <xf borderId="9" fillId="0" fontId="36" numFmtId="171" xfId="0" applyAlignment="1" applyBorder="1" applyFont="1" applyNumberFormat="1">
      <alignment horizontal="center" readingOrder="0" shrinkToFit="0" vertical="center" wrapText="1"/>
    </xf>
    <xf quotePrefix="1" borderId="0" fillId="0" fontId="7" numFmtId="0" xfId="0" applyAlignment="1" applyFont="1">
      <alignment shrinkToFit="0" vertical="top" wrapText="1"/>
    </xf>
    <xf borderId="9" fillId="21" fontId="39" numFmtId="0" xfId="0" applyAlignment="1" applyBorder="1" applyFill="1" applyFont="1">
      <alignment horizontal="center" shrinkToFit="0" vertical="center" wrapText="1"/>
    </xf>
    <xf borderId="9" fillId="17" fontId="33" numFmtId="3" xfId="0" applyAlignment="1" applyBorder="1" applyFill="1" applyFont="1" applyNumberFormat="1">
      <alignment horizontal="center" shrinkToFit="0" vertical="center" wrapText="0"/>
    </xf>
    <xf borderId="9" fillId="2" fontId="37" numFmtId="0" xfId="0" applyBorder="1" applyFill="1" applyFont="1"/>
    <xf borderId="0" fillId="0" fontId="37" numFmtId="0" xfId="0" applyFont="1"/>
    <xf borderId="9" fillId="0" fontId="40" numFmtId="0" xfId="0" applyAlignment="1" applyBorder="1" applyFont="1">
      <alignment horizontal="center" shrinkToFit="0" wrapText="1"/>
    </xf>
    <xf borderId="9" fillId="0" fontId="40" numFmtId="171" xfId="0" applyAlignment="1" applyBorder="1" applyFont="1" applyNumberFormat="1">
      <alignment horizontal="center" shrinkToFit="0" wrapText="1"/>
    </xf>
    <xf borderId="9" fillId="0" fontId="40" numFmtId="1" xfId="0" applyAlignment="1" applyBorder="1" applyFont="1" applyNumberFormat="1">
      <alignment horizontal="center" shrinkToFit="0" wrapText="1"/>
    </xf>
    <xf borderId="9" fillId="19" fontId="40" numFmtId="172" xfId="0" applyAlignment="1" applyBorder="1" applyFill="1" applyFont="1" applyNumberFormat="1">
      <alignment horizontal="center" shrinkToFit="0" wrapText="1"/>
    </xf>
    <xf borderId="9" fillId="2" fontId="37" numFmtId="173" xfId="0" applyBorder="1" applyFill="1" applyFont="1" applyNumberFormat="1"/>
    <xf borderId="10" fillId="13" fontId="37" numFmtId="0" xfId="0" applyBorder="1" applyFill="1" applyFont="1"/>
    <xf borderId="9" fillId="13" fontId="37" numFmtId="0" xfId="0" applyBorder="1" applyFill="1" applyFont="1"/>
    <xf borderId="9" fillId="18" fontId="37" numFmtId="0" xfId="0" applyBorder="1" applyFill="1" applyFont="1"/>
    <xf borderId="10" fillId="2" fontId="37" numFmtId="0" xfId="0" applyAlignment="1" applyBorder="1" applyFill="1" applyFont="1">
      <alignment vertical="bottom"/>
    </xf>
    <xf borderId="9" fillId="2" fontId="37" numFmtId="0" xfId="0" applyAlignment="1" applyBorder="1" applyFill="1" applyFont="1">
      <alignment vertical="bottom"/>
    </xf>
    <xf borderId="0" fillId="0" fontId="37" numFmtId="0" xfId="0" applyAlignment="1" applyFont="1">
      <alignment horizontal="center"/>
    </xf>
    <xf borderId="0" fillId="0" fontId="37" numFmtId="174" xfId="0" applyAlignment="1" applyFont="1" applyNumberFormat="1">
      <alignment horizontal="center"/>
    </xf>
    <xf borderId="0" fillId="0" fontId="37" numFmtId="9" xfId="0" applyFont="1" applyNumberFormat="1"/>
  </cellXfs>
  <cellStyles count="1">
    <cellStyle xfId="0" name="Normal" builtinId="0"/>
  </cellStyles>
  <dxfs count="2">
    <dxf>
      <font/>
      <fill>
        <patternFill patternType="solid">
          <fgColor rgb="FF599A91"/>
          <bgColor rgb="FF599A91"/>
        </patternFill>
      </fill>
      <border/>
    </dxf>
    <dxf>
      <font/>
      <fill>
        <patternFill patternType="solid">
          <fgColor rgb="FFBFE2DA"/>
          <bgColor rgb="FFBFE2D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pageSetUpPr/>
  </sheetPr>
  <sheetViews>
    <sheetView showGridLines="0" workbookViewId="0">
      <pane xSplit="8.0" ySplit="10.0" topLeftCell="I11" activePane="bottomRight" state="frozen"/>
      <selection activeCell="I1" sqref="I1" pane="topRight"/>
      <selection activeCell="A11" sqref="A11" pane="bottomLeft"/>
      <selection activeCell="I11" sqref="I11" pane="bottomRight"/>
    </sheetView>
  </sheetViews>
  <sheetFormatPr customHeight="1" defaultColWidth="12.63" defaultRowHeight="15.0"/>
  <cols>
    <col customWidth="1" min="1" max="1" width="4.25"/>
    <col customWidth="1" min="2" max="2" width="11.13"/>
    <col customWidth="1" min="3" max="3" width="39.0"/>
    <col customWidth="1" min="4" max="4" width="23.38"/>
    <col customWidth="1" min="5" max="6" width="15.0"/>
    <col customWidth="1" min="7" max="7" width="14.0"/>
    <col customWidth="1" min="8" max="8" width="15.38"/>
    <col customWidth="1" min="9" max="48" width="9.5"/>
    <col customWidth="1" min="49" max="50" width="3.0"/>
  </cols>
  <sheetData>
    <row r="1" ht="21.0" customHeight="1">
      <c r="A1" s="1"/>
      <c r="B1" s="2"/>
      <c r="C1" s="4"/>
      <c r="D1" s="4"/>
      <c r="E1" s="4"/>
      <c r="F1" s="5"/>
      <c r="G1" s="6"/>
      <c r="H1" s="7"/>
      <c r="I1" s="4"/>
      <c r="J1" s="8"/>
      <c r="K1" s="9"/>
      <c r="L1" s="11"/>
      <c r="M1" s="9"/>
      <c r="N1" s="9"/>
      <c r="O1" s="1"/>
      <c r="P1" s="1"/>
      <c r="Q1" s="1"/>
      <c r="R1" s="1"/>
      <c r="S1" s="1"/>
      <c r="T1" s="1"/>
      <c r="U1" s="1"/>
      <c r="V1" s="1"/>
      <c r="W1" s="1"/>
      <c r="X1" s="1"/>
      <c r="Y1" s="1"/>
      <c r="Z1" s="1"/>
      <c r="AA1" s="1"/>
      <c r="AB1" s="1"/>
      <c r="AC1" s="1"/>
      <c r="AD1" s="12"/>
      <c r="AE1" s="12"/>
      <c r="AF1" s="12"/>
      <c r="AG1" s="12"/>
      <c r="AH1" s="12"/>
      <c r="AI1" s="12"/>
      <c r="AJ1" s="12"/>
      <c r="AK1" s="12"/>
      <c r="AL1" s="12"/>
      <c r="AM1" s="1"/>
      <c r="AN1" s="1"/>
      <c r="AO1" s="1"/>
      <c r="AP1" s="1"/>
      <c r="AQ1" s="1"/>
      <c r="AR1" s="1"/>
      <c r="AS1" s="1"/>
      <c r="AT1" s="1"/>
      <c r="AU1" s="1"/>
      <c r="AV1" s="1"/>
      <c r="AW1" s="1"/>
      <c r="AX1" s="1"/>
    </row>
    <row r="2" ht="51.0" customHeight="1">
      <c r="A2" s="1"/>
      <c r="B2" s="14" t="s">
        <v>12</v>
      </c>
      <c r="C2" s="15"/>
      <c r="D2" s="15"/>
      <c r="E2" s="15"/>
      <c r="F2" s="15"/>
      <c r="G2" s="15"/>
      <c r="H2" s="16"/>
      <c r="I2" s="17"/>
      <c r="J2" s="15"/>
      <c r="K2" s="15"/>
      <c r="L2" s="15"/>
      <c r="M2" s="15"/>
      <c r="N2" s="15"/>
      <c r="O2" s="18"/>
      <c r="P2" s="15"/>
      <c r="Q2" s="15"/>
      <c r="R2" s="15"/>
      <c r="S2" s="15"/>
      <c r="T2" s="15"/>
      <c r="U2" s="15"/>
      <c r="V2" s="15"/>
      <c r="W2" s="15"/>
      <c r="X2" s="15"/>
      <c r="Y2" s="15"/>
      <c r="Z2" s="15"/>
      <c r="AA2" s="15"/>
      <c r="AB2" s="15"/>
      <c r="AC2" s="15"/>
      <c r="AD2" s="15"/>
      <c r="AE2" s="15"/>
      <c r="AF2" s="15"/>
      <c r="AG2" s="15"/>
      <c r="AH2" s="19"/>
      <c r="AI2" s="19"/>
      <c r="AJ2" s="19"/>
      <c r="AK2" s="19"/>
      <c r="AL2" s="19"/>
      <c r="AM2" s="1"/>
      <c r="AN2" s="1"/>
      <c r="AO2" s="1"/>
      <c r="AP2" s="1"/>
      <c r="AQ2" s="1"/>
      <c r="AR2" s="1"/>
      <c r="AS2" s="1"/>
      <c r="AT2" s="1"/>
      <c r="AU2" s="1"/>
      <c r="AV2" s="1"/>
      <c r="AW2" s="1"/>
      <c r="AX2" s="1"/>
    </row>
    <row r="3" ht="21.0" customHeight="1">
      <c r="A3" s="1"/>
      <c r="B3" s="20"/>
      <c r="C3" s="20"/>
      <c r="D3" s="21"/>
      <c r="E3" s="21"/>
      <c r="F3" s="21"/>
      <c r="G3" s="22"/>
      <c r="H3" s="22"/>
      <c r="I3" s="23"/>
      <c r="J3" s="23"/>
      <c r="K3" s="23"/>
      <c r="L3" s="23"/>
      <c r="M3" s="25"/>
      <c r="N3" s="25"/>
      <c r="O3" s="25"/>
      <c r="P3" s="1"/>
      <c r="Q3" s="1"/>
      <c r="R3" s="1"/>
      <c r="S3" s="1"/>
      <c r="T3" s="1"/>
      <c r="U3" s="1"/>
      <c r="V3" s="1"/>
      <c r="W3" s="1"/>
      <c r="X3" s="1"/>
      <c r="Y3" s="1"/>
      <c r="Z3" s="1"/>
      <c r="AA3" s="1"/>
      <c r="AB3" s="1"/>
      <c r="AC3" s="1"/>
      <c r="AD3" s="12"/>
      <c r="AE3" s="12"/>
      <c r="AF3" s="12"/>
      <c r="AG3" s="12"/>
      <c r="AH3" s="12"/>
      <c r="AI3" s="12"/>
      <c r="AJ3" s="12"/>
      <c r="AK3" s="12"/>
      <c r="AL3" s="12"/>
      <c r="AM3" s="1"/>
      <c r="AN3" s="1"/>
      <c r="AO3" s="1"/>
      <c r="AP3" s="1"/>
      <c r="AQ3" s="1"/>
      <c r="AR3" s="1"/>
      <c r="AS3" s="1"/>
      <c r="AT3" s="1"/>
      <c r="AU3" s="1"/>
      <c r="AV3" s="1"/>
      <c r="AW3" s="1"/>
      <c r="AX3" s="1"/>
    </row>
    <row r="4" ht="21.0" customHeight="1">
      <c r="A4" s="1"/>
      <c r="B4" s="26" t="s">
        <v>20</v>
      </c>
      <c r="C4" s="27"/>
      <c r="D4" s="28" t="s">
        <v>21</v>
      </c>
      <c r="E4" s="27"/>
      <c r="F4" s="27"/>
      <c r="G4" s="27"/>
      <c r="H4" s="29"/>
      <c r="I4" s="30" t="s">
        <v>22</v>
      </c>
      <c r="L4" s="1"/>
      <c r="M4" s="1"/>
      <c r="N4" s="1"/>
      <c r="O4" s="1"/>
      <c r="P4" s="1"/>
      <c r="Q4" s="1"/>
      <c r="R4" s="1"/>
      <c r="S4" s="1"/>
      <c r="T4" s="1"/>
      <c r="U4" s="1"/>
      <c r="V4" s="1"/>
      <c r="W4" s="1"/>
      <c r="X4" s="1"/>
      <c r="Y4" s="1"/>
      <c r="Z4" s="1"/>
      <c r="AA4" s="1"/>
      <c r="AB4" s="1"/>
      <c r="AC4" s="1"/>
      <c r="AD4" s="12"/>
      <c r="AE4" s="12"/>
      <c r="AF4" s="12"/>
      <c r="AG4" s="12"/>
      <c r="AH4" s="12"/>
      <c r="AI4" s="12"/>
      <c r="AJ4" s="12"/>
      <c r="AK4" s="12"/>
      <c r="AL4" s="12"/>
      <c r="AM4" s="1"/>
      <c r="AN4" s="1"/>
      <c r="AO4" s="1"/>
      <c r="AP4" s="1"/>
      <c r="AQ4" s="1"/>
      <c r="AR4" s="1"/>
      <c r="AS4" s="1"/>
      <c r="AT4" s="1"/>
      <c r="AU4" s="1"/>
      <c r="AV4" s="1"/>
      <c r="AW4" s="1"/>
      <c r="AX4" s="1"/>
    </row>
    <row r="5" ht="21.0" customHeight="1">
      <c r="A5" s="1"/>
      <c r="B5" s="26" t="s">
        <v>29</v>
      </c>
      <c r="C5" s="27"/>
      <c r="D5" s="31" t="s">
        <v>30</v>
      </c>
      <c r="E5" s="27"/>
      <c r="F5" s="27"/>
      <c r="G5" s="27"/>
      <c r="H5" s="32"/>
      <c r="I5" s="33">
        <v>46300.0</v>
      </c>
      <c r="J5" s="34" t="s">
        <v>36</v>
      </c>
      <c r="L5" s="1"/>
      <c r="M5" s="1"/>
      <c r="N5" s="1"/>
      <c r="O5" s="1"/>
      <c r="P5" s="1"/>
      <c r="Q5" s="1"/>
      <c r="R5" s="1"/>
      <c r="S5" s="1"/>
      <c r="T5" s="1"/>
      <c r="U5" s="1"/>
      <c r="V5" s="1"/>
      <c r="W5" s="1"/>
      <c r="X5" s="1"/>
      <c r="Y5" s="1"/>
      <c r="Z5" s="1"/>
      <c r="AA5" s="1"/>
      <c r="AB5" s="1"/>
      <c r="AC5" s="1"/>
      <c r="AD5" s="12"/>
      <c r="AE5" s="12"/>
      <c r="AF5" s="1"/>
      <c r="AG5" s="1"/>
      <c r="AH5" s="1"/>
      <c r="AI5" s="1"/>
      <c r="AJ5" s="1"/>
      <c r="AK5" s="1"/>
      <c r="AL5" s="36"/>
      <c r="AM5" s="1"/>
      <c r="AN5" s="1"/>
      <c r="AO5" s="1"/>
      <c r="AP5" s="1"/>
      <c r="AQ5" s="1"/>
      <c r="AR5" s="1"/>
      <c r="AS5" s="1"/>
      <c r="AT5" s="1"/>
      <c r="AU5" s="1"/>
      <c r="AV5" s="1"/>
      <c r="AW5" s="1"/>
      <c r="AX5" s="1"/>
    </row>
    <row r="6" ht="21.0" customHeight="1">
      <c r="A6" s="37"/>
      <c r="B6" s="26" t="s">
        <v>43</v>
      </c>
      <c r="C6" s="27"/>
      <c r="D6" s="38">
        <v>46303.0</v>
      </c>
      <c r="E6" s="27"/>
      <c r="F6" s="27"/>
      <c r="G6" s="27"/>
      <c r="H6" s="39"/>
      <c r="I6" s="40">
        <v>46304.0</v>
      </c>
      <c r="J6" s="41" t="s">
        <v>50</v>
      </c>
      <c r="L6" s="42"/>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1"/>
      <c r="AX6" s="1"/>
    </row>
    <row r="7" ht="21.0" customHeight="1">
      <c r="A7" s="37"/>
      <c r="B7" s="43" t="s">
        <v>54</v>
      </c>
      <c r="I7" s="44" t="s">
        <v>57</v>
      </c>
      <c r="L7" s="45" t="s">
        <v>58</v>
      </c>
      <c r="O7" s="37"/>
      <c r="P7" s="37"/>
      <c r="Q7" s="37"/>
      <c r="R7" s="37"/>
      <c r="S7" s="37"/>
      <c r="T7" s="37"/>
      <c r="U7" s="37"/>
      <c r="V7" s="46" t="s">
        <v>59</v>
      </c>
      <c r="X7" s="37"/>
      <c r="Y7" s="37"/>
      <c r="Z7" s="37"/>
      <c r="AA7" s="37"/>
      <c r="AB7" s="37"/>
      <c r="AC7" s="37"/>
      <c r="AD7" s="37"/>
      <c r="AE7" s="37"/>
      <c r="AF7" s="37"/>
      <c r="AG7" s="37"/>
      <c r="AH7" s="37"/>
      <c r="AI7" s="37"/>
      <c r="AJ7" s="37"/>
      <c r="AK7" s="37"/>
      <c r="AL7" s="37"/>
      <c r="AM7" s="37"/>
      <c r="AN7" s="37"/>
      <c r="AO7" s="37"/>
      <c r="AP7" s="37"/>
      <c r="AQ7" s="37"/>
      <c r="AR7" s="37"/>
      <c r="AS7" s="37"/>
      <c r="AT7" s="37"/>
      <c r="AU7" s="46" t="s">
        <v>65</v>
      </c>
      <c r="AW7" s="1"/>
      <c r="AX7" s="1"/>
    </row>
    <row r="8" ht="17.25" customHeight="1">
      <c r="A8" s="47"/>
      <c r="B8" s="48" t="s">
        <v>2</v>
      </c>
      <c r="C8" s="48" t="s">
        <v>3</v>
      </c>
      <c r="D8" s="48" t="s">
        <v>68</v>
      </c>
      <c r="E8" s="48" t="s">
        <v>71</v>
      </c>
      <c r="F8" s="48" t="s">
        <v>73</v>
      </c>
      <c r="G8" s="48" t="s">
        <v>74</v>
      </c>
      <c r="H8" s="48" t="s">
        <v>75</v>
      </c>
      <c r="I8" s="49" t="s">
        <v>76</v>
      </c>
      <c r="J8" s="50"/>
      <c r="K8" s="50"/>
      <c r="L8" s="50"/>
      <c r="M8" s="50"/>
      <c r="N8" s="50"/>
      <c r="O8" s="50"/>
      <c r="P8" s="50"/>
      <c r="Q8" s="50"/>
      <c r="R8" s="50"/>
      <c r="S8" s="50"/>
      <c r="T8" s="50"/>
      <c r="U8" s="50"/>
      <c r="V8" s="50"/>
      <c r="W8" s="51"/>
      <c r="X8" s="52" t="s">
        <v>82</v>
      </c>
      <c r="Y8" s="50"/>
      <c r="Z8" s="50"/>
      <c r="AA8" s="50"/>
      <c r="AB8" s="50"/>
      <c r="AC8" s="50"/>
      <c r="AD8" s="50"/>
      <c r="AE8" s="50"/>
      <c r="AF8" s="50"/>
      <c r="AG8" s="50"/>
      <c r="AH8" s="50"/>
      <c r="AI8" s="50"/>
      <c r="AJ8" s="50"/>
      <c r="AK8" s="50"/>
      <c r="AL8" s="51"/>
      <c r="AM8" s="53" t="s">
        <v>85</v>
      </c>
      <c r="AN8" s="50"/>
      <c r="AO8" s="50"/>
      <c r="AP8" s="50"/>
      <c r="AQ8" s="50"/>
      <c r="AR8" s="50"/>
      <c r="AS8" s="50"/>
      <c r="AT8" s="50"/>
      <c r="AU8" s="50"/>
      <c r="AV8" s="51"/>
      <c r="AW8" s="1"/>
      <c r="AX8" s="1"/>
    </row>
    <row r="9" ht="24.0" customHeight="1">
      <c r="A9" s="54"/>
      <c r="B9" s="55"/>
      <c r="C9" s="55"/>
      <c r="D9" s="55"/>
      <c r="E9" s="55"/>
      <c r="F9" s="55"/>
      <c r="G9" s="55"/>
      <c r="H9" s="55"/>
      <c r="I9" s="49" t="s">
        <v>88</v>
      </c>
      <c r="J9" s="50"/>
      <c r="K9" s="50"/>
      <c r="L9" s="50"/>
      <c r="M9" s="51"/>
      <c r="N9" s="49" t="s">
        <v>93</v>
      </c>
      <c r="O9" s="50"/>
      <c r="P9" s="50"/>
      <c r="Q9" s="50"/>
      <c r="R9" s="51"/>
      <c r="S9" s="49" t="s">
        <v>95</v>
      </c>
      <c r="T9" s="50"/>
      <c r="U9" s="50"/>
      <c r="V9" s="50"/>
      <c r="W9" s="51"/>
      <c r="X9" s="52" t="s">
        <v>96</v>
      </c>
      <c r="Y9" s="50"/>
      <c r="Z9" s="50"/>
      <c r="AA9" s="50"/>
      <c r="AB9" s="51"/>
      <c r="AC9" s="52" t="s">
        <v>97</v>
      </c>
      <c r="AD9" s="50"/>
      <c r="AE9" s="50"/>
      <c r="AF9" s="50"/>
      <c r="AG9" s="51"/>
      <c r="AH9" s="52" t="s">
        <v>98</v>
      </c>
      <c r="AI9" s="50"/>
      <c r="AJ9" s="50"/>
      <c r="AK9" s="50"/>
      <c r="AL9" s="51"/>
      <c r="AM9" s="53" t="s">
        <v>103</v>
      </c>
      <c r="AN9" s="50"/>
      <c r="AO9" s="50"/>
      <c r="AP9" s="50"/>
      <c r="AQ9" s="51"/>
      <c r="AR9" s="53" t="s">
        <v>105</v>
      </c>
      <c r="AS9" s="50"/>
      <c r="AT9" s="50"/>
      <c r="AU9" s="50"/>
      <c r="AV9" s="51"/>
      <c r="AW9" s="1"/>
      <c r="AX9" s="1"/>
    </row>
    <row r="10" ht="28.5" customHeight="1">
      <c r="A10" s="56"/>
      <c r="B10" s="57"/>
      <c r="C10" s="57"/>
      <c r="D10" s="57"/>
      <c r="E10" s="57"/>
      <c r="F10" s="57"/>
      <c r="G10" s="57"/>
      <c r="H10" s="57"/>
      <c r="I10" s="58">
        <v>46293.0</v>
      </c>
      <c r="J10" s="59">
        <v>46294.0</v>
      </c>
      <c r="K10" s="60">
        <v>46295.0</v>
      </c>
      <c r="L10" s="61">
        <v>46296.0</v>
      </c>
      <c r="M10" s="62">
        <v>46297.0</v>
      </c>
      <c r="N10" s="63">
        <v>46300.0</v>
      </c>
      <c r="O10" s="59">
        <v>46301.0</v>
      </c>
      <c r="P10" s="60">
        <v>46302.0</v>
      </c>
      <c r="Q10" s="61">
        <v>46303.0</v>
      </c>
      <c r="R10" s="64">
        <v>46304.0</v>
      </c>
      <c r="S10" s="58">
        <v>46307.0</v>
      </c>
      <c r="T10" s="59">
        <v>46308.0</v>
      </c>
      <c r="U10" s="60">
        <v>46309.0</v>
      </c>
      <c r="V10" s="61">
        <v>46310.0</v>
      </c>
      <c r="W10" s="65">
        <v>46311.0</v>
      </c>
      <c r="X10" s="66">
        <v>46314.0</v>
      </c>
      <c r="Y10" s="67">
        <v>46315.0</v>
      </c>
      <c r="Z10" s="68">
        <v>46316.0</v>
      </c>
      <c r="AA10" s="69">
        <v>46317.0</v>
      </c>
      <c r="AB10" s="70">
        <v>46318.0</v>
      </c>
      <c r="AC10" s="66">
        <v>46321.0</v>
      </c>
      <c r="AD10" s="67">
        <v>46322.0</v>
      </c>
      <c r="AE10" s="68">
        <v>46323.0</v>
      </c>
      <c r="AF10" s="69">
        <v>46324.0</v>
      </c>
      <c r="AG10" s="70">
        <v>46325.0</v>
      </c>
      <c r="AH10" s="66">
        <v>46328.0</v>
      </c>
      <c r="AI10" s="67">
        <v>46329.0</v>
      </c>
      <c r="AJ10" s="68">
        <v>46330.0</v>
      </c>
      <c r="AK10" s="69">
        <v>46331.0</v>
      </c>
      <c r="AL10" s="70">
        <v>46332.0</v>
      </c>
      <c r="AM10" s="71">
        <v>46335.0</v>
      </c>
      <c r="AN10" s="72">
        <v>46336.0</v>
      </c>
      <c r="AO10" s="73">
        <v>46337.0</v>
      </c>
      <c r="AP10" s="74">
        <v>46338.0</v>
      </c>
      <c r="AQ10" s="75">
        <v>46339.0</v>
      </c>
      <c r="AR10" s="71">
        <v>46342.0</v>
      </c>
      <c r="AS10" s="72">
        <v>46343.0</v>
      </c>
      <c r="AT10" s="73">
        <v>46344.0</v>
      </c>
      <c r="AU10" s="74">
        <v>46345.0</v>
      </c>
      <c r="AV10" s="65">
        <v>46346.0</v>
      </c>
      <c r="AW10" s="1"/>
      <c r="AX10" s="1"/>
    </row>
    <row r="11" ht="21.0" customHeight="1">
      <c r="A11" s="37"/>
      <c r="B11" s="76">
        <v>1.0</v>
      </c>
      <c r="C11" s="77" t="s">
        <v>127</v>
      </c>
      <c r="D11" s="76" t="s">
        <v>128</v>
      </c>
      <c r="E11" s="78">
        <v>46293.0</v>
      </c>
      <c r="F11" s="78">
        <v>46303.0</v>
      </c>
      <c r="G11" s="79">
        <f t="shared" ref="G11:G48" si="1">IF(OR(E11="",F11=""),"",IF(F11&lt;E11,"날짜 확인",NETWORKDAYS(E11,F11,$I$5:$I$6)))</f>
        <v>8</v>
      </c>
      <c r="H11" s="80">
        <f>AVERAGE(H12:H16)</f>
        <v>100</v>
      </c>
      <c r="I11" s="81"/>
      <c r="J11" s="81"/>
      <c r="K11" s="81"/>
      <c r="L11" s="81"/>
      <c r="M11" s="81"/>
      <c r="N11" s="82"/>
      <c r="O11" s="81"/>
      <c r="P11" s="81"/>
      <c r="Q11" s="81"/>
      <c r="R11" s="82"/>
      <c r="S11" s="81"/>
      <c r="T11" s="81"/>
      <c r="U11" s="81"/>
      <c r="V11" s="81"/>
      <c r="W11" s="83"/>
      <c r="X11" s="81"/>
      <c r="Y11" s="81"/>
      <c r="Z11" s="81"/>
      <c r="AA11" s="81"/>
      <c r="AB11" s="81"/>
      <c r="AC11" s="81"/>
      <c r="AD11" s="81"/>
      <c r="AE11" s="81"/>
      <c r="AF11" s="81"/>
      <c r="AG11" s="81"/>
      <c r="AH11" s="81"/>
      <c r="AI11" s="81"/>
      <c r="AJ11" s="81"/>
      <c r="AK11" s="81"/>
      <c r="AL11" s="81"/>
      <c r="AM11" s="81"/>
      <c r="AN11" s="81"/>
      <c r="AO11" s="81"/>
      <c r="AP11" s="81"/>
      <c r="AQ11" s="81"/>
      <c r="AR11" s="81"/>
      <c r="AS11" s="81"/>
      <c r="AT11" s="81"/>
      <c r="AU11" s="81"/>
      <c r="AV11" s="83"/>
      <c r="AW11" s="1"/>
      <c r="AX11" s="1"/>
    </row>
    <row r="12" ht="17.25" customHeight="1">
      <c r="A12" s="84"/>
      <c r="B12" s="85">
        <v>1.0</v>
      </c>
      <c r="C12" s="86" t="s">
        <v>158</v>
      </c>
      <c r="D12" s="85" t="s">
        <v>30</v>
      </c>
      <c r="E12" s="87">
        <v>46293.0</v>
      </c>
      <c r="F12" s="87">
        <v>46303.0</v>
      </c>
      <c r="G12" s="88">
        <f t="shared" si="1"/>
        <v>8</v>
      </c>
      <c r="H12" s="89">
        <v>100.0</v>
      </c>
      <c r="I12" s="90"/>
      <c r="J12" s="90"/>
      <c r="K12" s="91"/>
      <c r="L12" s="91"/>
      <c r="M12" s="91"/>
      <c r="N12" s="92"/>
      <c r="O12" s="91"/>
      <c r="P12" s="91"/>
      <c r="Q12" s="91"/>
      <c r="R12" s="93"/>
      <c r="S12" s="94"/>
      <c r="T12" s="91"/>
      <c r="U12" s="91"/>
      <c r="V12" s="91"/>
      <c r="W12" s="83"/>
      <c r="X12" s="94"/>
      <c r="Y12" s="91"/>
      <c r="Z12" s="91"/>
      <c r="AA12" s="91"/>
      <c r="AB12" s="91"/>
      <c r="AC12" s="94"/>
      <c r="AD12" s="91"/>
      <c r="AE12" s="91"/>
      <c r="AF12" s="91"/>
      <c r="AG12" s="91"/>
      <c r="AH12" s="95"/>
      <c r="AI12" s="91"/>
      <c r="AJ12" s="91"/>
      <c r="AK12" s="91"/>
      <c r="AL12" s="91"/>
      <c r="AM12" s="95"/>
      <c r="AN12" s="91"/>
      <c r="AO12" s="91"/>
      <c r="AP12" s="91"/>
      <c r="AQ12" s="91"/>
      <c r="AR12" s="95"/>
      <c r="AS12" s="91"/>
      <c r="AT12" s="91"/>
      <c r="AU12" s="91"/>
      <c r="AV12" s="83"/>
      <c r="AW12" s="1"/>
      <c r="AX12" s="1"/>
    </row>
    <row r="13" ht="17.25" customHeight="1">
      <c r="A13" s="84"/>
      <c r="B13" s="85">
        <v>1.1</v>
      </c>
      <c r="C13" s="85" t="s">
        <v>175</v>
      </c>
      <c r="D13" s="85" t="s">
        <v>176</v>
      </c>
      <c r="E13" s="87">
        <v>46293.0</v>
      </c>
      <c r="F13" s="87">
        <v>46296.0</v>
      </c>
      <c r="G13" s="88">
        <f t="shared" si="1"/>
        <v>4</v>
      </c>
      <c r="H13" s="96">
        <v>100.0</v>
      </c>
      <c r="I13" s="90"/>
      <c r="J13" s="90"/>
      <c r="K13" s="91"/>
      <c r="L13" s="91"/>
      <c r="M13" s="91"/>
      <c r="N13" s="92"/>
      <c r="O13" s="90"/>
      <c r="P13" s="91"/>
      <c r="Q13" s="91"/>
      <c r="R13" s="93"/>
      <c r="S13" s="94"/>
      <c r="T13" s="91"/>
      <c r="U13" s="91"/>
      <c r="V13" s="91"/>
      <c r="W13" s="83"/>
      <c r="X13" s="94"/>
      <c r="Y13" s="91"/>
      <c r="Z13" s="91"/>
      <c r="AA13" s="91"/>
      <c r="AB13" s="91"/>
      <c r="AC13" s="94"/>
      <c r="AD13" s="91"/>
      <c r="AE13" s="91"/>
      <c r="AF13" s="91"/>
      <c r="AG13" s="91"/>
      <c r="AH13" s="95"/>
      <c r="AI13" s="91"/>
      <c r="AJ13" s="91"/>
      <c r="AK13" s="91"/>
      <c r="AL13" s="91"/>
      <c r="AM13" s="95"/>
      <c r="AN13" s="91"/>
      <c r="AO13" s="91"/>
      <c r="AP13" s="91"/>
      <c r="AQ13" s="91"/>
      <c r="AR13" s="95"/>
      <c r="AS13" s="91"/>
      <c r="AT13" s="91"/>
      <c r="AU13" s="91"/>
      <c r="AV13" s="83"/>
      <c r="AW13" s="1"/>
      <c r="AX13" s="1"/>
    </row>
    <row r="14" ht="17.25" customHeight="1">
      <c r="A14" s="84"/>
      <c r="B14" s="85">
        <v>1.2</v>
      </c>
      <c r="C14" s="85" t="s">
        <v>177</v>
      </c>
      <c r="D14" s="85" t="s">
        <v>179</v>
      </c>
      <c r="E14" s="87">
        <v>46296.0</v>
      </c>
      <c r="F14" s="87">
        <v>46297.0</v>
      </c>
      <c r="G14" s="88">
        <f t="shared" si="1"/>
        <v>2</v>
      </c>
      <c r="H14" s="89">
        <v>100.0</v>
      </c>
      <c r="I14" s="91"/>
      <c r="J14" s="90"/>
      <c r="K14" s="91"/>
      <c r="L14" s="91"/>
      <c r="M14" s="91"/>
      <c r="N14" s="92"/>
      <c r="O14" s="90"/>
      <c r="P14" s="91"/>
      <c r="Q14" s="91"/>
      <c r="R14" s="93"/>
      <c r="S14" s="94"/>
      <c r="T14" s="91"/>
      <c r="U14" s="91"/>
      <c r="V14" s="91"/>
      <c r="W14" s="83"/>
      <c r="X14" s="94"/>
      <c r="Y14" s="91"/>
      <c r="Z14" s="91"/>
      <c r="AA14" s="91"/>
      <c r="AB14" s="91"/>
      <c r="AC14" s="94"/>
      <c r="AD14" s="91"/>
      <c r="AE14" s="91"/>
      <c r="AF14" s="91"/>
      <c r="AG14" s="91"/>
      <c r="AH14" s="95"/>
      <c r="AI14" s="91"/>
      <c r="AJ14" s="91"/>
      <c r="AK14" s="91"/>
      <c r="AL14" s="91"/>
      <c r="AM14" s="95"/>
      <c r="AN14" s="91"/>
      <c r="AO14" s="91"/>
      <c r="AP14" s="91"/>
      <c r="AQ14" s="91"/>
      <c r="AR14" s="95"/>
      <c r="AS14" s="91"/>
      <c r="AT14" s="91"/>
      <c r="AU14" s="91"/>
      <c r="AV14" s="83"/>
      <c r="AW14" s="1"/>
      <c r="AX14" s="1"/>
    </row>
    <row r="15" ht="17.25" customHeight="1">
      <c r="A15" s="84"/>
      <c r="B15" s="85">
        <v>1.3</v>
      </c>
      <c r="C15" s="85" t="s">
        <v>184</v>
      </c>
      <c r="D15" s="85" t="s">
        <v>185</v>
      </c>
      <c r="E15" s="87">
        <v>46296.0</v>
      </c>
      <c r="F15" s="87">
        <v>46303.0</v>
      </c>
      <c r="G15" s="88">
        <f t="shared" si="1"/>
        <v>5</v>
      </c>
      <c r="H15" s="89">
        <v>100.0</v>
      </c>
      <c r="I15" s="91"/>
      <c r="J15" s="90"/>
      <c r="K15" s="91"/>
      <c r="L15" s="91"/>
      <c r="M15" s="91"/>
      <c r="N15" s="92"/>
      <c r="O15" s="91"/>
      <c r="P15" s="91"/>
      <c r="Q15" s="91"/>
      <c r="R15" s="93"/>
      <c r="S15" s="94"/>
      <c r="T15" s="91"/>
      <c r="U15" s="91"/>
      <c r="V15" s="91"/>
      <c r="W15" s="83"/>
      <c r="X15" s="94"/>
      <c r="Y15" s="91"/>
      <c r="Z15" s="91"/>
      <c r="AA15" s="91"/>
      <c r="AB15" s="91"/>
      <c r="AC15" s="94"/>
      <c r="AD15" s="91"/>
      <c r="AE15" s="91"/>
      <c r="AF15" s="91"/>
      <c r="AG15" s="91"/>
      <c r="AH15" s="95"/>
      <c r="AI15" s="91"/>
      <c r="AJ15" s="91"/>
      <c r="AK15" s="91"/>
      <c r="AL15" s="91"/>
      <c r="AM15" s="95"/>
      <c r="AN15" s="91"/>
      <c r="AO15" s="91"/>
      <c r="AP15" s="91"/>
      <c r="AQ15" s="91"/>
      <c r="AR15" s="95"/>
      <c r="AS15" s="91"/>
      <c r="AT15" s="91"/>
      <c r="AU15" s="91"/>
      <c r="AV15" s="83"/>
      <c r="AW15" s="1"/>
      <c r="AX15" s="1"/>
    </row>
    <row r="16" ht="17.25" customHeight="1">
      <c r="A16" s="84"/>
      <c r="B16" s="85">
        <v>1.4</v>
      </c>
      <c r="C16" s="86" t="s">
        <v>191</v>
      </c>
      <c r="D16" s="85" t="s">
        <v>192</v>
      </c>
      <c r="E16" s="87">
        <v>46296.0</v>
      </c>
      <c r="F16" s="87">
        <v>46303.0</v>
      </c>
      <c r="G16" s="88">
        <f t="shared" si="1"/>
        <v>5</v>
      </c>
      <c r="H16" s="89">
        <v>100.0</v>
      </c>
      <c r="I16" s="91"/>
      <c r="J16" s="90"/>
      <c r="K16" s="91"/>
      <c r="L16" s="91"/>
      <c r="M16" s="91"/>
      <c r="N16" s="92"/>
      <c r="O16" s="91"/>
      <c r="P16" s="91"/>
      <c r="Q16" s="91"/>
      <c r="R16" s="93"/>
      <c r="S16" s="94"/>
      <c r="T16" s="91"/>
      <c r="U16" s="91"/>
      <c r="V16" s="91"/>
      <c r="W16" s="83"/>
      <c r="X16" s="94"/>
      <c r="Y16" s="91"/>
      <c r="Z16" s="91"/>
      <c r="AA16" s="91"/>
      <c r="AB16" s="91"/>
      <c r="AC16" s="94"/>
      <c r="AD16" s="91"/>
      <c r="AE16" s="91"/>
      <c r="AF16" s="91"/>
      <c r="AG16" s="91"/>
      <c r="AH16" s="95"/>
      <c r="AI16" s="91"/>
      <c r="AJ16" s="91"/>
      <c r="AK16" s="91"/>
      <c r="AL16" s="91"/>
      <c r="AM16" s="95"/>
      <c r="AN16" s="91"/>
      <c r="AO16" s="91"/>
      <c r="AP16" s="91"/>
      <c r="AQ16" s="91"/>
      <c r="AR16" s="95"/>
      <c r="AS16" s="91"/>
      <c r="AT16" s="91"/>
      <c r="AU16" s="91"/>
      <c r="AV16" s="83"/>
      <c r="AW16" s="1"/>
      <c r="AX16" s="1"/>
    </row>
    <row r="17" ht="21.0" customHeight="1">
      <c r="A17" s="37"/>
      <c r="B17" s="76">
        <v>2.0</v>
      </c>
      <c r="C17" s="77" t="s">
        <v>198</v>
      </c>
      <c r="D17" s="76" t="s">
        <v>128</v>
      </c>
      <c r="E17" s="78">
        <v>46301.0</v>
      </c>
      <c r="F17" s="78">
        <v>46311.0</v>
      </c>
      <c r="G17" s="79">
        <f t="shared" si="1"/>
        <v>8</v>
      </c>
      <c r="H17" s="80">
        <f>AVERAGE(H18:H22)</f>
        <v>32</v>
      </c>
      <c r="I17" s="81"/>
      <c r="J17" s="97"/>
      <c r="K17" s="97"/>
      <c r="L17" s="97"/>
      <c r="M17" s="97"/>
      <c r="N17" s="98"/>
      <c r="O17" s="97"/>
      <c r="P17" s="97"/>
      <c r="Q17" s="97"/>
      <c r="R17" s="82"/>
      <c r="S17" s="99"/>
      <c r="T17" s="81"/>
      <c r="U17" s="81"/>
      <c r="V17" s="81"/>
      <c r="W17" s="100"/>
      <c r="X17" s="99"/>
      <c r="Y17" s="81"/>
      <c r="Z17" s="81"/>
      <c r="AA17" s="81"/>
      <c r="AB17" s="81"/>
      <c r="AC17" s="99"/>
      <c r="AD17" s="81"/>
      <c r="AE17" s="81"/>
      <c r="AF17" s="81"/>
      <c r="AG17" s="81"/>
      <c r="AH17" s="101"/>
      <c r="AI17" s="81"/>
      <c r="AJ17" s="81"/>
      <c r="AK17" s="81"/>
      <c r="AL17" s="81"/>
      <c r="AM17" s="101"/>
      <c r="AN17" s="81"/>
      <c r="AO17" s="81"/>
      <c r="AP17" s="81"/>
      <c r="AQ17" s="81"/>
      <c r="AR17" s="101"/>
      <c r="AS17" s="81"/>
      <c r="AT17" s="81"/>
      <c r="AU17" s="81"/>
      <c r="AV17" s="100"/>
      <c r="AW17" s="1"/>
      <c r="AX17" s="1"/>
    </row>
    <row r="18" ht="17.25" customHeight="1">
      <c r="A18" s="84"/>
      <c r="B18" s="85">
        <v>2.1</v>
      </c>
      <c r="C18" s="85" t="s">
        <v>207</v>
      </c>
      <c r="D18" s="85" t="s">
        <v>30</v>
      </c>
      <c r="E18" s="87">
        <v>46301.0</v>
      </c>
      <c r="F18" s="87">
        <v>46301.0</v>
      </c>
      <c r="G18" s="88">
        <f t="shared" si="1"/>
        <v>1</v>
      </c>
      <c r="H18" s="96">
        <v>100.0</v>
      </c>
      <c r="I18" s="91"/>
      <c r="J18" s="90"/>
      <c r="K18" s="91"/>
      <c r="L18" s="91"/>
      <c r="M18" s="91"/>
      <c r="N18" s="92"/>
      <c r="O18" s="91"/>
      <c r="P18" s="91"/>
      <c r="Q18" s="91"/>
      <c r="R18" s="93"/>
      <c r="S18" s="94"/>
      <c r="T18" s="91"/>
      <c r="U18" s="91"/>
      <c r="V18" s="91"/>
      <c r="W18" s="83"/>
      <c r="X18" s="94"/>
      <c r="Y18" s="91"/>
      <c r="Z18" s="91"/>
      <c r="AA18" s="91"/>
      <c r="AB18" s="91"/>
      <c r="AC18" s="94"/>
      <c r="AD18" s="91"/>
      <c r="AE18" s="91"/>
      <c r="AF18" s="91"/>
      <c r="AG18" s="91"/>
      <c r="AH18" s="95"/>
      <c r="AI18" s="91"/>
      <c r="AJ18" s="91"/>
      <c r="AK18" s="91"/>
      <c r="AL18" s="91"/>
      <c r="AM18" s="95"/>
      <c r="AN18" s="91"/>
      <c r="AO18" s="91"/>
      <c r="AP18" s="91"/>
      <c r="AQ18" s="91"/>
      <c r="AR18" s="95"/>
      <c r="AS18" s="91"/>
      <c r="AT18" s="91"/>
      <c r="AU18" s="91"/>
      <c r="AV18" s="83"/>
      <c r="AW18" s="1"/>
      <c r="AX18" s="1"/>
    </row>
    <row r="19" ht="17.25" customHeight="1">
      <c r="A19" s="84"/>
      <c r="B19" s="85">
        <v>2.2</v>
      </c>
      <c r="C19" s="86" t="s">
        <v>210</v>
      </c>
      <c r="D19" s="102" t="s">
        <v>213</v>
      </c>
      <c r="E19" s="87">
        <v>46301.0</v>
      </c>
      <c r="F19" s="87">
        <v>46309.0</v>
      </c>
      <c r="G19" s="88">
        <f t="shared" si="1"/>
        <v>6</v>
      </c>
      <c r="H19" s="89">
        <v>40.0</v>
      </c>
      <c r="I19" s="91"/>
      <c r="J19" s="90"/>
      <c r="K19" s="91"/>
      <c r="L19" s="91"/>
      <c r="M19" s="91"/>
      <c r="N19" s="92"/>
      <c r="O19" s="91"/>
      <c r="P19" s="91"/>
      <c r="Q19" s="91"/>
      <c r="R19" s="93"/>
      <c r="S19" s="94"/>
      <c r="T19" s="91"/>
      <c r="U19" s="91"/>
      <c r="V19" s="91"/>
      <c r="W19" s="83"/>
      <c r="X19" s="94"/>
      <c r="Y19" s="91"/>
      <c r="Z19" s="91"/>
      <c r="AA19" s="91"/>
      <c r="AB19" s="91"/>
      <c r="AC19" s="94"/>
      <c r="AD19" s="91"/>
      <c r="AE19" s="91"/>
      <c r="AF19" s="91"/>
      <c r="AG19" s="91"/>
      <c r="AH19" s="95"/>
      <c r="AI19" s="91"/>
      <c r="AJ19" s="91"/>
      <c r="AK19" s="91"/>
      <c r="AL19" s="91"/>
      <c r="AM19" s="95"/>
      <c r="AN19" s="91"/>
      <c r="AO19" s="91"/>
      <c r="AP19" s="91"/>
      <c r="AQ19" s="91"/>
      <c r="AR19" s="95"/>
      <c r="AS19" s="91"/>
      <c r="AT19" s="91"/>
      <c r="AU19" s="91"/>
      <c r="AV19" s="83"/>
      <c r="AW19" s="1"/>
      <c r="AX19" s="1"/>
    </row>
    <row r="20" ht="17.25" customHeight="1">
      <c r="A20" s="84"/>
      <c r="B20" s="85">
        <v>2.3</v>
      </c>
      <c r="C20" s="86" t="s">
        <v>220</v>
      </c>
      <c r="D20" s="102" t="s">
        <v>221</v>
      </c>
      <c r="E20" s="87">
        <v>46307.0</v>
      </c>
      <c r="F20" s="87">
        <v>46310.0</v>
      </c>
      <c r="G20" s="88">
        <f t="shared" si="1"/>
        <v>4</v>
      </c>
      <c r="H20" s="89">
        <v>20.0</v>
      </c>
      <c r="I20" s="91"/>
      <c r="J20" s="90"/>
      <c r="K20" s="91"/>
      <c r="L20" s="91"/>
      <c r="M20" s="91"/>
      <c r="N20" s="92"/>
      <c r="O20" s="91"/>
      <c r="P20" s="91"/>
      <c r="Q20" s="91"/>
      <c r="R20" s="93"/>
      <c r="S20" s="94"/>
      <c r="T20" s="91"/>
      <c r="U20" s="91"/>
      <c r="V20" s="91"/>
      <c r="W20" s="83"/>
      <c r="X20" s="94"/>
      <c r="Y20" s="91"/>
      <c r="Z20" s="91"/>
      <c r="AA20" s="91"/>
      <c r="AB20" s="91"/>
      <c r="AC20" s="94"/>
      <c r="AD20" s="91"/>
      <c r="AE20" s="91"/>
      <c r="AF20" s="91"/>
      <c r="AG20" s="91"/>
      <c r="AH20" s="95"/>
      <c r="AI20" s="91"/>
      <c r="AJ20" s="91"/>
      <c r="AK20" s="91"/>
      <c r="AL20" s="91"/>
      <c r="AM20" s="95"/>
      <c r="AN20" s="91"/>
      <c r="AO20" s="91"/>
      <c r="AP20" s="91"/>
      <c r="AQ20" s="91"/>
      <c r="AR20" s="95"/>
      <c r="AS20" s="91"/>
      <c r="AT20" s="91"/>
      <c r="AU20" s="91"/>
      <c r="AV20" s="83"/>
      <c r="AW20" s="1"/>
      <c r="AX20" s="1"/>
    </row>
    <row r="21" ht="17.25" customHeight="1">
      <c r="A21" s="84"/>
      <c r="B21" s="85">
        <v>2.4</v>
      </c>
      <c r="C21" s="102" t="s">
        <v>224</v>
      </c>
      <c r="D21" s="102" t="s">
        <v>225</v>
      </c>
      <c r="E21" s="104">
        <v>46308.0</v>
      </c>
      <c r="F21" s="87">
        <v>46310.0</v>
      </c>
      <c r="G21" s="88">
        <f t="shared" si="1"/>
        <v>3</v>
      </c>
      <c r="H21" s="96">
        <v>0.0</v>
      </c>
      <c r="I21" s="91"/>
      <c r="J21" s="90"/>
      <c r="K21" s="91"/>
      <c r="L21" s="91"/>
      <c r="M21" s="91"/>
      <c r="N21" s="92"/>
      <c r="O21" s="91"/>
      <c r="P21" s="91"/>
      <c r="Q21" s="91"/>
      <c r="R21" s="93"/>
      <c r="S21" s="94"/>
      <c r="T21" s="91"/>
      <c r="U21" s="91"/>
      <c r="V21" s="91"/>
      <c r="W21" s="83"/>
      <c r="X21" s="94"/>
      <c r="Y21" s="91"/>
      <c r="Z21" s="91"/>
      <c r="AA21" s="91"/>
      <c r="AB21" s="91"/>
      <c r="AC21" s="94"/>
      <c r="AD21" s="91"/>
      <c r="AE21" s="91"/>
      <c r="AF21" s="91"/>
      <c r="AG21" s="91"/>
      <c r="AH21" s="95"/>
      <c r="AI21" s="91"/>
      <c r="AJ21" s="91"/>
      <c r="AK21" s="91"/>
      <c r="AL21" s="91"/>
      <c r="AM21" s="95"/>
      <c r="AN21" s="91"/>
      <c r="AO21" s="91"/>
      <c r="AP21" s="91"/>
      <c r="AQ21" s="91"/>
      <c r="AR21" s="95"/>
      <c r="AS21" s="91"/>
      <c r="AT21" s="91"/>
      <c r="AU21" s="91"/>
      <c r="AV21" s="83"/>
      <c r="AW21" s="1"/>
      <c r="AX21" s="1"/>
    </row>
    <row r="22" ht="17.25" customHeight="1">
      <c r="A22" s="84"/>
      <c r="B22" s="85">
        <v>2.5</v>
      </c>
      <c r="C22" s="106" t="s">
        <v>239</v>
      </c>
      <c r="D22" s="102" t="s">
        <v>242</v>
      </c>
      <c r="E22" s="104">
        <v>46307.0</v>
      </c>
      <c r="F22" s="87">
        <v>46311.0</v>
      </c>
      <c r="G22" s="88">
        <f t="shared" si="1"/>
        <v>5</v>
      </c>
      <c r="H22" s="96">
        <v>0.0</v>
      </c>
      <c r="I22" s="91"/>
      <c r="J22" s="90"/>
      <c r="K22" s="91"/>
      <c r="L22" s="91"/>
      <c r="M22" s="91"/>
      <c r="N22" s="92"/>
      <c r="O22" s="91"/>
      <c r="P22" s="91"/>
      <c r="Q22" s="91"/>
      <c r="R22" s="93"/>
      <c r="S22" s="94"/>
      <c r="T22" s="91"/>
      <c r="U22" s="91"/>
      <c r="V22" s="91"/>
      <c r="W22" s="83"/>
      <c r="X22" s="94"/>
      <c r="Y22" s="91"/>
      <c r="Z22" s="91"/>
      <c r="AA22" s="91"/>
      <c r="AB22" s="91"/>
      <c r="AC22" s="94"/>
      <c r="AD22" s="91"/>
      <c r="AE22" s="91"/>
      <c r="AF22" s="91"/>
      <c r="AG22" s="91"/>
      <c r="AH22" s="95"/>
      <c r="AI22" s="91"/>
      <c r="AJ22" s="91"/>
      <c r="AK22" s="91"/>
      <c r="AL22" s="91"/>
      <c r="AM22" s="95"/>
      <c r="AN22" s="91"/>
      <c r="AO22" s="91"/>
      <c r="AP22" s="91"/>
      <c r="AQ22" s="91"/>
      <c r="AR22" s="95"/>
      <c r="AS22" s="91"/>
      <c r="AT22" s="91"/>
      <c r="AU22" s="91"/>
      <c r="AV22" s="83"/>
      <c r="AW22" s="1"/>
      <c r="AX22" s="1"/>
    </row>
    <row r="23" ht="17.25" customHeight="1">
      <c r="A23" s="37"/>
      <c r="B23" s="76">
        <v>3.0</v>
      </c>
      <c r="C23" s="77" t="s">
        <v>252</v>
      </c>
      <c r="D23" s="76" t="s">
        <v>128</v>
      </c>
      <c r="E23" s="78">
        <v>46314.0</v>
      </c>
      <c r="F23" s="78">
        <v>46318.0</v>
      </c>
      <c r="G23" s="79">
        <f t="shared" si="1"/>
        <v>5</v>
      </c>
      <c r="H23" s="80">
        <f>AVERAGE(H24:H27)</f>
        <v>0</v>
      </c>
      <c r="I23" s="81"/>
      <c r="J23" s="97"/>
      <c r="K23" s="107"/>
      <c r="L23" s="107"/>
      <c r="M23" s="81"/>
      <c r="N23" s="98"/>
      <c r="O23" s="81"/>
      <c r="P23" s="81"/>
      <c r="Q23" s="81"/>
      <c r="R23" s="82"/>
      <c r="S23" s="99"/>
      <c r="T23" s="81"/>
      <c r="U23" s="81"/>
      <c r="V23" s="81"/>
      <c r="W23" s="100"/>
      <c r="X23" s="99"/>
      <c r="Y23" s="81"/>
      <c r="Z23" s="81"/>
      <c r="AA23" s="81"/>
      <c r="AB23" s="81"/>
      <c r="AC23" s="99"/>
      <c r="AD23" s="81"/>
      <c r="AE23" s="81"/>
      <c r="AF23" s="81"/>
      <c r="AG23" s="81"/>
      <c r="AH23" s="101"/>
      <c r="AI23" s="81"/>
      <c r="AJ23" s="81"/>
      <c r="AK23" s="81"/>
      <c r="AL23" s="81"/>
      <c r="AM23" s="101"/>
      <c r="AN23" s="81"/>
      <c r="AO23" s="81"/>
      <c r="AP23" s="81"/>
      <c r="AQ23" s="81"/>
      <c r="AR23" s="101"/>
      <c r="AS23" s="81"/>
      <c r="AT23" s="81"/>
      <c r="AU23" s="81"/>
      <c r="AV23" s="100"/>
      <c r="AW23" s="1"/>
      <c r="AX23" s="1"/>
    </row>
    <row r="24" ht="17.25" customHeight="1">
      <c r="A24" s="84"/>
      <c r="B24" s="85">
        <v>3.1</v>
      </c>
      <c r="C24" s="86" t="s">
        <v>278</v>
      </c>
      <c r="D24" s="86" t="s">
        <v>242</v>
      </c>
      <c r="E24" s="87">
        <v>46314.0</v>
      </c>
      <c r="F24" s="87">
        <v>46317.0</v>
      </c>
      <c r="G24" s="88">
        <f t="shared" si="1"/>
        <v>4</v>
      </c>
      <c r="H24" s="96">
        <v>0.0</v>
      </c>
      <c r="I24" s="91"/>
      <c r="J24" s="90"/>
      <c r="K24" s="91"/>
      <c r="L24" s="90"/>
      <c r="M24" s="91"/>
      <c r="N24" s="92"/>
      <c r="O24" s="91"/>
      <c r="P24" s="90"/>
      <c r="Q24" s="91"/>
      <c r="R24" s="93"/>
      <c r="S24" s="94"/>
      <c r="T24" s="91"/>
      <c r="U24" s="91"/>
      <c r="V24" s="91"/>
      <c r="W24" s="83"/>
      <c r="X24" s="94"/>
      <c r="Y24" s="91"/>
      <c r="Z24" s="91"/>
      <c r="AA24" s="91"/>
      <c r="AB24" s="91"/>
      <c r="AC24" s="94"/>
      <c r="AD24" s="91"/>
      <c r="AE24" s="91"/>
      <c r="AF24" s="91"/>
      <c r="AG24" s="91"/>
      <c r="AH24" s="95"/>
      <c r="AI24" s="91"/>
      <c r="AJ24" s="91"/>
      <c r="AK24" s="91"/>
      <c r="AL24" s="91"/>
      <c r="AM24" s="95"/>
      <c r="AN24" s="91"/>
      <c r="AO24" s="91"/>
      <c r="AP24" s="91"/>
      <c r="AQ24" s="91"/>
      <c r="AR24" s="95"/>
      <c r="AS24" s="91"/>
      <c r="AT24" s="91"/>
      <c r="AU24" s="91"/>
      <c r="AV24" s="83"/>
      <c r="AW24" s="1"/>
      <c r="AX24" s="1"/>
    </row>
    <row r="25" ht="17.25" customHeight="1">
      <c r="A25" s="84"/>
      <c r="B25" s="85">
        <v>3.2</v>
      </c>
      <c r="C25" s="86" t="s">
        <v>288</v>
      </c>
      <c r="D25" s="86" t="s">
        <v>30</v>
      </c>
      <c r="E25" s="87">
        <v>46314.0</v>
      </c>
      <c r="F25" s="87">
        <v>46317.0</v>
      </c>
      <c r="G25" s="88">
        <f t="shared" si="1"/>
        <v>4</v>
      </c>
      <c r="H25" s="96">
        <v>0.0</v>
      </c>
      <c r="I25" s="91"/>
      <c r="J25" s="90"/>
      <c r="K25" s="91"/>
      <c r="L25" s="90"/>
      <c r="M25" s="91"/>
      <c r="N25" s="92"/>
      <c r="O25" s="91"/>
      <c r="P25" s="90"/>
      <c r="Q25" s="91"/>
      <c r="R25" s="93"/>
      <c r="S25" s="94"/>
      <c r="T25" s="91"/>
      <c r="U25" s="91"/>
      <c r="V25" s="91"/>
      <c r="W25" s="83"/>
      <c r="X25" s="94"/>
      <c r="Y25" s="91"/>
      <c r="Z25" s="91"/>
      <c r="AA25" s="91"/>
      <c r="AB25" s="91"/>
      <c r="AC25" s="94"/>
      <c r="AD25" s="91"/>
      <c r="AE25" s="91"/>
      <c r="AF25" s="91"/>
      <c r="AG25" s="91"/>
      <c r="AH25" s="95"/>
      <c r="AI25" s="91"/>
      <c r="AJ25" s="91"/>
      <c r="AK25" s="91"/>
      <c r="AL25" s="91"/>
      <c r="AM25" s="95"/>
      <c r="AN25" s="91"/>
      <c r="AO25" s="91"/>
      <c r="AP25" s="91"/>
      <c r="AQ25" s="91"/>
      <c r="AR25" s="95"/>
      <c r="AS25" s="91"/>
      <c r="AT25" s="91"/>
      <c r="AU25" s="91"/>
      <c r="AV25" s="83"/>
      <c r="AW25" s="1"/>
      <c r="AX25" s="1"/>
    </row>
    <row r="26" ht="17.25" customHeight="1">
      <c r="A26" s="84"/>
      <c r="B26" s="85">
        <v>3.3</v>
      </c>
      <c r="C26" s="86" t="s">
        <v>297</v>
      </c>
      <c r="D26" s="86" t="s">
        <v>179</v>
      </c>
      <c r="E26" s="87">
        <v>46315.0</v>
      </c>
      <c r="F26" s="87">
        <v>46318.0</v>
      </c>
      <c r="G26" s="88">
        <f t="shared" si="1"/>
        <v>4</v>
      </c>
      <c r="H26" s="96">
        <v>0.0</v>
      </c>
      <c r="I26" s="91"/>
      <c r="J26" s="90"/>
      <c r="K26" s="91"/>
      <c r="L26" s="90"/>
      <c r="M26" s="91"/>
      <c r="N26" s="92"/>
      <c r="O26" s="91"/>
      <c r="P26" s="90"/>
      <c r="Q26" s="91"/>
      <c r="R26" s="93"/>
      <c r="S26" s="94"/>
      <c r="T26" s="91"/>
      <c r="U26" s="91"/>
      <c r="V26" s="91"/>
      <c r="W26" s="83"/>
      <c r="X26" s="94"/>
      <c r="Y26" s="91"/>
      <c r="Z26" s="91"/>
      <c r="AA26" s="91"/>
      <c r="AB26" s="91"/>
      <c r="AC26" s="94"/>
      <c r="AD26" s="91"/>
      <c r="AE26" s="91"/>
      <c r="AF26" s="91"/>
      <c r="AG26" s="91"/>
      <c r="AH26" s="95"/>
      <c r="AI26" s="91"/>
      <c r="AJ26" s="91"/>
      <c r="AK26" s="91"/>
      <c r="AL26" s="91"/>
      <c r="AM26" s="95"/>
      <c r="AN26" s="91"/>
      <c r="AO26" s="91"/>
      <c r="AP26" s="91"/>
      <c r="AQ26" s="91"/>
      <c r="AR26" s="95"/>
      <c r="AS26" s="91"/>
      <c r="AT26" s="91"/>
      <c r="AU26" s="91"/>
      <c r="AV26" s="83"/>
      <c r="AW26" s="1"/>
      <c r="AX26" s="1"/>
    </row>
    <row r="27" ht="17.25" customHeight="1">
      <c r="A27" s="84"/>
      <c r="B27" s="85">
        <v>3.4</v>
      </c>
      <c r="C27" s="86" t="s">
        <v>304</v>
      </c>
      <c r="D27" s="85" t="s">
        <v>17</v>
      </c>
      <c r="E27" s="87">
        <v>46315.0</v>
      </c>
      <c r="F27" s="87">
        <v>46318.0</v>
      </c>
      <c r="G27" s="88">
        <f t="shared" si="1"/>
        <v>4</v>
      </c>
      <c r="H27" s="96">
        <v>0.0</v>
      </c>
      <c r="I27" s="91"/>
      <c r="J27" s="90"/>
      <c r="K27" s="91"/>
      <c r="L27" s="90"/>
      <c r="M27" s="91"/>
      <c r="N27" s="92"/>
      <c r="O27" s="91"/>
      <c r="P27" s="90"/>
      <c r="Q27" s="91"/>
      <c r="R27" s="93"/>
      <c r="S27" s="94"/>
      <c r="T27" s="91"/>
      <c r="U27" s="91"/>
      <c r="V27" s="91"/>
      <c r="W27" s="83"/>
      <c r="X27" s="94"/>
      <c r="Y27" s="91"/>
      <c r="Z27" s="91"/>
      <c r="AA27" s="91"/>
      <c r="AB27" s="91"/>
      <c r="AC27" s="94"/>
      <c r="AD27" s="91"/>
      <c r="AE27" s="91"/>
      <c r="AF27" s="91"/>
      <c r="AG27" s="91"/>
      <c r="AH27" s="95"/>
      <c r="AI27" s="91"/>
      <c r="AJ27" s="91"/>
      <c r="AK27" s="91"/>
      <c r="AL27" s="91"/>
      <c r="AM27" s="95"/>
      <c r="AN27" s="91"/>
      <c r="AO27" s="91"/>
      <c r="AP27" s="91"/>
      <c r="AQ27" s="91"/>
      <c r="AR27" s="95"/>
      <c r="AS27" s="91"/>
      <c r="AT27" s="91"/>
      <c r="AU27" s="91"/>
      <c r="AV27" s="83"/>
      <c r="AW27" s="1"/>
      <c r="AX27" s="1"/>
    </row>
    <row r="28" ht="17.25" customHeight="1">
      <c r="A28" s="37"/>
      <c r="B28" s="76">
        <v>4.0</v>
      </c>
      <c r="C28" s="77" t="s">
        <v>309</v>
      </c>
      <c r="D28" s="76" t="s">
        <v>128</v>
      </c>
      <c r="E28" s="78">
        <v>46321.0</v>
      </c>
      <c r="F28" s="78">
        <v>46325.0</v>
      </c>
      <c r="G28" s="79">
        <f t="shared" si="1"/>
        <v>5</v>
      </c>
      <c r="H28" s="80">
        <f>AVERAGE(H29:H34)</f>
        <v>0</v>
      </c>
      <c r="I28" s="81"/>
      <c r="J28" s="97"/>
      <c r="K28" s="107"/>
      <c r="L28" s="107"/>
      <c r="M28" s="81"/>
      <c r="N28" s="98"/>
      <c r="O28" s="81"/>
      <c r="P28" s="81"/>
      <c r="Q28" s="81"/>
      <c r="R28" s="82"/>
      <c r="S28" s="99"/>
      <c r="T28" s="81"/>
      <c r="U28" s="81"/>
      <c r="V28" s="81"/>
      <c r="W28" s="100"/>
      <c r="X28" s="99"/>
      <c r="Y28" s="81"/>
      <c r="Z28" s="81"/>
      <c r="AA28" s="81"/>
      <c r="AB28" s="81"/>
      <c r="AC28" s="99"/>
      <c r="AD28" s="81"/>
      <c r="AE28" s="81"/>
      <c r="AF28" s="81"/>
      <c r="AG28" s="81"/>
      <c r="AH28" s="101"/>
      <c r="AI28" s="81"/>
      <c r="AJ28" s="81"/>
      <c r="AK28" s="81"/>
      <c r="AL28" s="81"/>
      <c r="AM28" s="101"/>
      <c r="AN28" s="81"/>
      <c r="AO28" s="81"/>
      <c r="AP28" s="81"/>
      <c r="AQ28" s="81"/>
      <c r="AR28" s="101"/>
      <c r="AS28" s="81"/>
      <c r="AT28" s="81"/>
      <c r="AU28" s="81"/>
      <c r="AV28" s="100"/>
      <c r="AW28" s="1"/>
      <c r="AX28" s="1"/>
    </row>
    <row r="29" ht="17.25" customHeight="1">
      <c r="A29" s="84"/>
      <c r="B29" s="85">
        <v>4.1</v>
      </c>
      <c r="C29" s="86" t="s">
        <v>314</v>
      </c>
      <c r="D29" s="85" t="s">
        <v>17</v>
      </c>
      <c r="E29" s="87">
        <v>46321.0</v>
      </c>
      <c r="F29" s="87">
        <v>46323.0</v>
      </c>
      <c r="G29" s="88">
        <f t="shared" si="1"/>
        <v>3</v>
      </c>
      <c r="H29" s="96">
        <v>0.0</v>
      </c>
      <c r="I29" s="91"/>
      <c r="J29" s="90"/>
      <c r="K29" s="91"/>
      <c r="L29" s="90"/>
      <c r="M29" s="91"/>
      <c r="N29" s="92"/>
      <c r="O29" s="91"/>
      <c r="P29" s="90"/>
      <c r="Q29" s="91"/>
      <c r="R29" s="93"/>
      <c r="S29" s="94"/>
      <c r="T29" s="91"/>
      <c r="U29" s="91"/>
      <c r="V29" s="91"/>
      <c r="W29" s="83"/>
      <c r="X29" s="94"/>
      <c r="Y29" s="91"/>
      <c r="Z29" s="91"/>
      <c r="AA29" s="91"/>
      <c r="AB29" s="91"/>
      <c r="AC29" s="94"/>
      <c r="AD29" s="91"/>
      <c r="AE29" s="91"/>
      <c r="AF29" s="91"/>
      <c r="AG29" s="91"/>
      <c r="AH29" s="95"/>
      <c r="AI29" s="91"/>
      <c r="AJ29" s="91"/>
      <c r="AK29" s="91"/>
      <c r="AL29" s="91"/>
      <c r="AM29" s="95"/>
      <c r="AN29" s="91"/>
      <c r="AO29" s="91"/>
      <c r="AP29" s="91"/>
      <c r="AQ29" s="91"/>
      <c r="AR29" s="95"/>
      <c r="AS29" s="91"/>
      <c r="AT29" s="91"/>
      <c r="AU29" s="91"/>
      <c r="AV29" s="83"/>
      <c r="AW29" s="1"/>
      <c r="AX29" s="1"/>
    </row>
    <row r="30" ht="17.25" customHeight="1">
      <c r="A30" s="84"/>
      <c r="B30" s="85">
        <v>4.2</v>
      </c>
      <c r="C30" s="86" t="s">
        <v>315</v>
      </c>
      <c r="D30" s="86" t="s">
        <v>225</v>
      </c>
      <c r="E30" s="87">
        <v>46321.0</v>
      </c>
      <c r="F30" s="87">
        <v>46324.0</v>
      </c>
      <c r="G30" s="88">
        <f t="shared" si="1"/>
        <v>4</v>
      </c>
      <c r="H30" s="96">
        <v>0.0</v>
      </c>
      <c r="I30" s="91"/>
      <c r="J30" s="90"/>
      <c r="K30" s="91"/>
      <c r="L30" s="90"/>
      <c r="M30" s="91"/>
      <c r="N30" s="92"/>
      <c r="O30" s="91"/>
      <c r="P30" s="90"/>
      <c r="Q30" s="91"/>
      <c r="R30" s="93"/>
      <c r="S30" s="94"/>
      <c r="T30" s="91"/>
      <c r="U30" s="91"/>
      <c r="V30" s="91"/>
      <c r="W30" s="83"/>
      <c r="X30" s="94"/>
      <c r="Y30" s="91"/>
      <c r="Z30" s="91"/>
      <c r="AA30" s="91"/>
      <c r="AB30" s="91"/>
      <c r="AC30" s="94"/>
      <c r="AD30" s="91"/>
      <c r="AE30" s="91"/>
      <c r="AF30" s="91"/>
      <c r="AG30" s="91"/>
      <c r="AH30" s="95"/>
      <c r="AI30" s="91"/>
      <c r="AJ30" s="91"/>
      <c r="AK30" s="91"/>
      <c r="AL30" s="91"/>
      <c r="AM30" s="95"/>
      <c r="AN30" s="91"/>
      <c r="AO30" s="91"/>
      <c r="AP30" s="91"/>
      <c r="AQ30" s="91"/>
      <c r="AR30" s="95"/>
      <c r="AS30" s="91"/>
      <c r="AT30" s="91"/>
      <c r="AU30" s="91"/>
      <c r="AV30" s="83"/>
      <c r="AW30" s="1"/>
      <c r="AX30" s="1"/>
    </row>
    <row r="31" ht="17.25" customHeight="1">
      <c r="A31" s="84"/>
      <c r="B31" s="85">
        <v>4.3</v>
      </c>
      <c r="C31" s="86" t="s">
        <v>316</v>
      </c>
      <c r="D31" s="86" t="s">
        <v>317</v>
      </c>
      <c r="E31" s="87">
        <v>46322.0</v>
      </c>
      <c r="F31" s="87">
        <v>46325.0</v>
      </c>
      <c r="G31" s="88">
        <f t="shared" si="1"/>
        <v>4</v>
      </c>
      <c r="H31" s="96">
        <v>0.0</v>
      </c>
      <c r="I31" s="91"/>
      <c r="J31" s="90"/>
      <c r="K31" s="91"/>
      <c r="L31" s="90"/>
      <c r="M31" s="91"/>
      <c r="N31" s="92"/>
      <c r="O31" s="91"/>
      <c r="P31" s="90"/>
      <c r="Q31" s="91"/>
      <c r="R31" s="93"/>
      <c r="S31" s="94"/>
      <c r="T31" s="91"/>
      <c r="U31" s="91"/>
      <c r="V31" s="91"/>
      <c r="W31" s="83"/>
      <c r="X31" s="94"/>
      <c r="Y31" s="91"/>
      <c r="Z31" s="91"/>
      <c r="AA31" s="91"/>
      <c r="AB31" s="91"/>
      <c r="AC31" s="94"/>
      <c r="AD31" s="91"/>
      <c r="AE31" s="91"/>
      <c r="AF31" s="91"/>
      <c r="AG31" s="91"/>
      <c r="AH31" s="95"/>
      <c r="AI31" s="91"/>
      <c r="AJ31" s="91"/>
      <c r="AK31" s="91"/>
      <c r="AL31" s="91"/>
      <c r="AM31" s="95"/>
      <c r="AN31" s="91"/>
      <c r="AO31" s="91"/>
      <c r="AP31" s="91"/>
      <c r="AQ31" s="91"/>
      <c r="AR31" s="95"/>
      <c r="AS31" s="91"/>
      <c r="AT31" s="91"/>
      <c r="AU31" s="91"/>
      <c r="AV31" s="83"/>
      <c r="AW31" s="1"/>
      <c r="AX31" s="1"/>
    </row>
    <row r="32" ht="17.25" customHeight="1">
      <c r="A32" s="84"/>
      <c r="B32" s="85">
        <v>4.4</v>
      </c>
      <c r="C32" s="102" t="s">
        <v>318</v>
      </c>
      <c r="D32" s="86" t="s">
        <v>317</v>
      </c>
      <c r="E32" s="87">
        <v>46323.0</v>
      </c>
      <c r="F32" s="87">
        <v>46325.0</v>
      </c>
      <c r="G32" s="88">
        <f t="shared" si="1"/>
        <v>3</v>
      </c>
      <c r="H32" s="96">
        <v>0.0</v>
      </c>
      <c r="I32" s="91"/>
      <c r="J32" s="90"/>
      <c r="K32" s="91"/>
      <c r="L32" s="90"/>
      <c r="M32" s="91"/>
      <c r="N32" s="92"/>
      <c r="O32" s="91"/>
      <c r="P32" s="90"/>
      <c r="Q32" s="91"/>
      <c r="R32" s="93"/>
      <c r="S32" s="94"/>
      <c r="T32" s="91"/>
      <c r="U32" s="91"/>
      <c r="V32" s="91"/>
      <c r="W32" s="83"/>
      <c r="X32" s="94"/>
      <c r="Y32" s="91"/>
      <c r="Z32" s="91"/>
      <c r="AA32" s="91"/>
      <c r="AB32" s="91"/>
      <c r="AC32" s="94"/>
      <c r="AD32" s="91"/>
      <c r="AE32" s="91"/>
      <c r="AF32" s="91"/>
      <c r="AG32" s="91"/>
      <c r="AH32" s="95"/>
      <c r="AI32" s="91"/>
      <c r="AJ32" s="91"/>
      <c r="AK32" s="91"/>
      <c r="AL32" s="91"/>
      <c r="AM32" s="95"/>
      <c r="AN32" s="91"/>
      <c r="AO32" s="91"/>
      <c r="AP32" s="91"/>
      <c r="AQ32" s="91"/>
      <c r="AR32" s="95"/>
      <c r="AS32" s="91"/>
      <c r="AT32" s="91"/>
      <c r="AU32" s="91"/>
      <c r="AV32" s="83"/>
      <c r="AW32" s="1"/>
      <c r="AX32" s="1"/>
    </row>
    <row r="33" ht="17.25" customHeight="1">
      <c r="A33" s="84"/>
      <c r="B33" s="85">
        <v>4.5</v>
      </c>
      <c r="C33" s="86" t="s">
        <v>319</v>
      </c>
      <c r="D33" s="86" t="s">
        <v>225</v>
      </c>
      <c r="E33" s="87">
        <v>46323.0</v>
      </c>
      <c r="F33" s="87">
        <v>46325.0</v>
      </c>
      <c r="G33" s="88">
        <f t="shared" si="1"/>
        <v>3</v>
      </c>
      <c r="H33" s="96">
        <v>0.0</v>
      </c>
      <c r="I33" s="91"/>
      <c r="J33" s="90"/>
      <c r="K33" s="91"/>
      <c r="L33" s="90"/>
      <c r="M33" s="91"/>
      <c r="N33" s="92"/>
      <c r="O33" s="91"/>
      <c r="P33" s="90"/>
      <c r="Q33" s="91"/>
      <c r="R33" s="93"/>
      <c r="S33" s="94"/>
      <c r="T33" s="91"/>
      <c r="U33" s="91"/>
      <c r="V33" s="91"/>
      <c r="W33" s="83"/>
      <c r="X33" s="94"/>
      <c r="Y33" s="91"/>
      <c r="Z33" s="91"/>
      <c r="AA33" s="91"/>
      <c r="AB33" s="91"/>
      <c r="AC33" s="94"/>
      <c r="AD33" s="91"/>
      <c r="AE33" s="91"/>
      <c r="AF33" s="91"/>
      <c r="AG33" s="91"/>
      <c r="AH33" s="95"/>
      <c r="AI33" s="91"/>
      <c r="AJ33" s="91"/>
      <c r="AK33" s="91"/>
      <c r="AL33" s="91"/>
      <c r="AM33" s="95"/>
      <c r="AN33" s="91"/>
      <c r="AO33" s="91"/>
      <c r="AP33" s="91"/>
      <c r="AQ33" s="91"/>
      <c r="AR33" s="95"/>
      <c r="AS33" s="91"/>
      <c r="AT33" s="91"/>
      <c r="AU33" s="91"/>
      <c r="AV33" s="83"/>
      <c r="AW33" s="1"/>
      <c r="AX33" s="1"/>
    </row>
    <row r="34" ht="17.25" customHeight="1">
      <c r="A34" s="84"/>
      <c r="B34" s="85">
        <v>4.6</v>
      </c>
      <c r="C34" s="86" t="s">
        <v>320</v>
      </c>
      <c r="D34" s="85" t="s">
        <v>17</v>
      </c>
      <c r="E34" s="87">
        <v>46324.0</v>
      </c>
      <c r="F34" s="87">
        <v>46325.0</v>
      </c>
      <c r="G34" s="88">
        <f t="shared" si="1"/>
        <v>2</v>
      </c>
      <c r="H34" s="96">
        <v>0.0</v>
      </c>
      <c r="I34" s="91"/>
      <c r="J34" s="90"/>
      <c r="K34" s="91"/>
      <c r="L34" s="90"/>
      <c r="M34" s="91"/>
      <c r="N34" s="92"/>
      <c r="O34" s="91"/>
      <c r="P34" s="90"/>
      <c r="Q34" s="91"/>
      <c r="R34" s="93"/>
      <c r="S34" s="94"/>
      <c r="T34" s="91"/>
      <c r="U34" s="91"/>
      <c r="V34" s="91"/>
      <c r="W34" s="83"/>
      <c r="X34" s="94"/>
      <c r="Y34" s="91"/>
      <c r="Z34" s="91"/>
      <c r="AA34" s="91"/>
      <c r="AB34" s="91"/>
      <c r="AC34" s="94"/>
      <c r="AD34" s="91"/>
      <c r="AE34" s="91"/>
      <c r="AF34" s="91"/>
      <c r="AG34" s="91"/>
      <c r="AH34" s="95"/>
      <c r="AI34" s="91"/>
      <c r="AJ34" s="91"/>
      <c r="AK34" s="91"/>
      <c r="AL34" s="91"/>
      <c r="AM34" s="95"/>
      <c r="AN34" s="91"/>
      <c r="AO34" s="91"/>
      <c r="AP34" s="91"/>
      <c r="AQ34" s="91"/>
      <c r="AR34" s="95"/>
      <c r="AS34" s="91"/>
      <c r="AT34" s="91"/>
      <c r="AU34" s="91"/>
      <c r="AV34" s="83"/>
      <c r="AW34" s="1"/>
      <c r="AX34" s="1"/>
    </row>
    <row r="35" ht="17.25" customHeight="1">
      <c r="A35" s="37"/>
      <c r="B35" s="76">
        <v>5.0</v>
      </c>
      <c r="C35" s="77" t="s">
        <v>321</v>
      </c>
      <c r="D35" s="76" t="s">
        <v>128</v>
      </c>
      <c r="E35" s="78">
        <v>46328.0</v>
      </c>
      <c r="F35" s="78">
        <v>46332.0</v>
      </c>
      <c r="G35" s="79">
        <f t="shared" si="1"/>
        <v>5</v>
      </c>
      <c r="H35" s="80">
        <f>AVERAGE(H36,H38:H39)</f>
        <v>0</v>
      </c>
      <c r="I35" s="81"/>
      <c r="J35" s="97"/>
      <c r="K35" s="107"/>
      <c r="L35" s="107"/>
      <c r="M35" s="81"/>
      <c r="N35" s="98"/>
      <c r="O35" s="81"/>
      <c r="P35" s="81"/>
      <c r="Q35" s="81"/>
      <c r="R35" s="82"/>
      <c r="S35" s="99"/>
      <c r="T35" s="81"/>
      <c r="U35" s="81"/>
      <c r="V35" s="81"/>
      <c r="W35" s="100"/>
      <c r="X35" s="99"/>
      <c r="Y35" s="81"/>
      <c r="Z35" s="81"/>
      <c r="AA35" s="81"/>
      <c r="AB35" s="81"/>
      <c r="AC35" s="99"/>
      <c r="AD35" s="81"/>
      <c r="AE35" s="81"/>
      <c r="AF35" s="81"/>
      <c r="AG35" s="81"/>
      <c r="AH35" s="101"/>
      <c r="AI35" s="81"/>
      <c r="AJ35" s="81"/>
      <c r="AK35" s="81"/>
      <c r="AL35" s="81"/>
      <c r="AM35" s="101"/>
      <c r="AN35" s="81"/>
      <c r="AO35" s="81"/>
      <c r="AP35" s="81"/>
      <c r="AQ35" s="81"/>
      <c r="AR35" s="101"/>
      <c r="AS35" s="81"/>
      <c r="AT35" s="81"/>
      <c r="AU35" s="81"/>
      <c r="AV35" s="100"/>
      <c r="AW35" s="1"/>
      <c r="AX35" s="1"/>
    </row>
    <row r="36" ht="17.25" customHeight="1">
      <c r="A36" s="84"/>
      <c r="B36" s="85">
        <v>5.1</v>
      </c>
      <c r="C36" s="102" t="s">
        <v>322</v>
      </c>
      <c r="D36" s="86" t="s">
        <v>30</v>
      </c>
      <c r="E36" s="87">
        <v>46328.0</v>
      </c>
      <c r="F36" s="87">
        <v>46330.0</v>
      </c>
      <c r="G36" s="88">
        <f t="shared" si="1"/>
        <v>3</v>
      </c>
      <c r="H36" s="96">
        <v>0.0</v>
      </c>
      <c r="I36" s="91"/>
      <c r="J36" s="90"/>
      <c r="K36" s="90"/>
      <c r="L36" s="91"/>
      <c r="M36" s="91"/>
      <c r="N36" s="92"/>
      <c r="O36" s="90"/>
      <c r="P36" s="91"/>
      <c r="Q36" s="91"/>
      <c r="R36" s="93"/>
      <c r="S36" s="94"/>
      <c r="T36" s="91"/>
      <c r="U36" s="91"/>
      <c r="V36" s="91"/>
      <c r="W36" s="83"/>
      <c r="X36" s="94"/>
      <c r="Y36" s="91"/>
      <c r="Z36" s="91"/>
      <c r="AA36" s="91"/>
      <c r="AB36" s="91"/>
      <c r="AC36" s="94"/>
      <c r="AD36" s="91"/>
      <c r="AE36" s="91"/>
      <c r="AF36" s="91"/>
      <c r="AG36" s="91"/>
      <c r="AH36" s="95"/>
      <c r="AI36" s="108"/>
      <c r="AJ36" s="108"/>
      <c r="AK36" s="91"/>
      <c r="AL36" s="91"/>
      <c r="AM36" s="95"/>
      <c r="AN36" s="91"/>
      <c r="AO36" s="91"/>
      <c r="AP36" s="91"/>
      <c r="AQ36" s="91"/>
      <c r="AR36" s="95"/>
      <c r="AS36" s="91"/>
      <c r="AT36" s="91"/>
      <c r="AU36" s="91"/>
      <c r="AV36" s="83"/>
      <c r="AW36" s="1"/>
      <c r="AX36" s="1"/>
    </row>
    <row r="37" ht="17.25" customHeight="1">
      <c r="A37" s="84"/>
      <c r="B37" s="85">
        <v>5.2</v>
      </c>
      <c r="C37" s="86" t="s">
        <v>323</v>
      </c>
      <c r="D37" s="85" t="s">
        <v>17</v>
      </c>
      <c r="E37" s="87">
        <v>46329.0</v>
      </c>
      <c r="F37" s="87">
        <v>46331.0</v>
      </c>
      <c r="G37" s="88">
        <f t="shared" si="1"/>
        <v>3</v>
      </c>
      <c r="H37" s="96">
        <v>0.0</v>
      </c>
      <c r="I37" s="91"/>
      <c r="J37" s="90"/>
      <c r="K37" s="90"/>
      <c r="L37" s="91"/>
      <c r="M37" s="91"/>
      <c r="N37" s="92"/>
      <c r="O37" s="90"/>
      <c r="P37" s="91"/>
      <c r="Q37" s="91"/>
      <c r="R37" s="93"/>
      <c r="S37" s="94"/>
      <c r="T37" s="91"/>
      <c r="U37" s="91"/>
      <c r="V37" s="91"/>
      <c r="W37" s="83"/>
      <c r="X37" s="94"/>
      <c r="Y37" s="91"/>
      <c r="Z37" s="91"/>
      <c r="AA37" s="91"/>
      <c r="AB37" s="91"/>
      <c r="AC37" s="94"/>
      <c r="AD37" s="91"/>
      <c r="AE37" s="91"/>
      <c r="AF37" s="91"/>
      <c r="AG37" s="91"/>
      <c r="AH37" s="95"/>
      <c r="AI37" s="108"/>
      <c r="AJ37" s="108"/>
      <c r="AK37" s="108"/>
      <c r="AL37" s="91"/>
      <c r="AM37" s="95"/>
      <c r="AN37" s="91"/>
      <c r="AO37" s="91"/>
      <c r="AP37" s="91"/>
      <c r="AQ37" s="91"/>
      <c r="AR37" s="95"/>
      <c r="AS37" s="91"/>
      <c r="AT37" s="91"/>
      <c r="AU37" s="91"/>
      <c r="AV37" s="83"/>
      <c r="AW37" s="1"/>
      <c r="AX37" s="1"/>
    </row>
    <row r="38" ht="17.25" customHeight="1">
      <c r="A38" s="84"/>
      <c r="B38" s="85">
        <v>5.3</v>
      </c>
      <c r="C38" s="86" t="s">
        <v>324</v>
      </c>
      <c r="D38" s="86" t="s">
        <v>30</v>
      </c>
      <c r="E38" s="87">
        <v>46330.0</v>
      </c>
      <c r="F38" s="87">
        <v>46332.0</v>
      </c>
      <c r="G38" s="88">
        <f t="shared" si="1"/>
        <v>3</v>
      </c>
      <c r="H38" s="96">
        <v>0.0</v>
      </c>
      <c r="I38" s="91"/>
      <c r="J38" s="90"/>
      <c r="K38" s="90"/>
      <c r="L38" s="91"/>
      <c r="M38" s="91"/>
      <c r="N38" s="92"/>
      <c r="O38" s="90"/>
      <c r="P38" s="91"/>
      <c r="Q38" s="91"/>
      <c r="R38" s="93"/>
      <c r="S38" s="94"/>
      <c r="T38" s="91"/>
      <c r="U38" s="91"/>
      <c r="V38" s="91"/>
      <c r="W38" s="83"/>
      <c r="X38" s="94"/>
      <c r="Y38" s="91"/>
      <c r="Z38" s="91"/>
      <c r="AA38" s="91"/>
      <c r="AB38" s="91"/>
      <c r="AC38" s="94"/>
      <c r="AD38" s="91"/>
      <c r="AE38" s="91"/>
      <c r="AF38" s="91"/>
      <c r="AG38" s="91"/>
      <c r="AH38" s="95"/>
      <c r="AI38" s="91"/>
      <c r="AJ38" s="108"/>
      <c r="AK38" s="108"/>
      <c r="AL38" s="108"/>
      <c r="AM38" s="95"/>
      <c r="AN38" s="91"/>
      <c r="AO38" s="91"/>
      <c r="AP38" s="91"/>
      <c r="AQ38" s="91"/>
      <c r="AR38" s="95"/>
      <c r="AS38" s="91"/>
      <c r="AT38" s="91"/>
      <c r="AU38" s="91"/>
      <c r="AV38" s="83"/>
      <c r="AW38" s="1"/>
      <c r="AX38" s="1"/>
    </row>
    <row r="39" ht="17.25" customHeight="1">
      <c r="A39" s="84"/>
      <c r="B39" s="85">
        <v>5.4</v>
      </c>
      <c r="C39" s="86" t="s">
        <v>325</v>
      </c>
      <c r="D39" s="85" t="s">
        <v>17</v>
      </c>
      <c r="E39" s="87">
        <v>46331.0</v>
      </c>
      <c r="F39" s="87">
        <v>46332.0</v>
      </c>
      <c r="G39" s="88">
        <f t="shared" si="1"/>
        <v>2</v>
      </c>
      <c r="H39" s="96">
        <v>0.0</v>
      </c>
      <c r="I39" s="91"/>
      <c r="J39" s="90"/>
      <c r="K39" s="90"/>
      <c r="L39" s="91"/>
      <c r="M39" s="91"/>
      <c r="N39" s="92"/>
      <c r="O39" s="90"/>
      <c r="P39" s="91"/>
      <c r="Q39" s="91"/>
      <c r="R39" s="93"/>
      <c r="S39" s="94"/>
      <c r="T39" s="91"/>
      <c r="U39" s="91"/>
      <c r="V39" s="91"/>
      <c r="W39" s="83"/>
      <c r="X39" s="94"/>
      <c r="Y39" s="91"/>
      <c r="Z39" s="91"/>
      <c r="AA39" s="91"/>
      <c r="AB39" s="91"/>
      <c r="AC39" s="94"/>
      <c r="AD39" s="91"/>
      <c r="AE39" s="91"/>
      <c r="AF39" s="91"/>
      <c r="AG39" s="91"/>
      <c r="AH39" s="95"/>
      <c r="AI39" s="91"/>
      <c r="AJ39" s="91"/>
      <c r="AK39" s="108"/>
      <c r="AL39" s="108"/>
      <c r="AM39" s="95"/>
      <c r="AN39" s="91"/>
      <c r="AO39" s="91"/>
      <c r="AP39" s="91"/>
      <c r="AQ39" s="91"/>
      <c r="AR39" s="95"/>
      <c r="AS39" s="91"/>
      <c r="AT39" s="91"/>
      <c r="AU39" s="91"/>
      <c r="AV39" s="83"/>
      <c r="AW39" s="1"/>
      <c r="AX39" s="1"/>
    </row>
    <row r="40" ht="17.25" customHeight="1">
      <c r="A40" s="37"/>
      <c r="B40" s="76">
        <v>6.0</v>
      </c>
      <c r="C40" s="77" t="s">
        <v>326</v>
      </c>
      <c r="D40" s="76" t="s">
        <v>128</v>
      </c>
      <c r="E40" s="78">
        <v>46335.0</v>
      </c>
      <c r="F40" s="78">
        <v>46339.0</v>
      </c>
      <c r="G40" s="79">
        <f t="shared" si="1"/>
        <v>5</v>
      </c>
      <c r="H40" s="80">
        <f>AVERAGE(H41:H43)</f>
        <v>0</v>
      </c>
      <c r="I40" s="81"/>
      <c r="J40" s="97"/>
      <c r="K40" s="107"/>
      <c r="L40" s="107"/>
      <c r="M40" s="81"/>
      <c r="N40" s="98"/>
      <c r="O40" s="81"/>
      <c r="P40" s="81"/>
      <c r="Q40" s="81"/>
      <c r="R40" s="82"/>
      <c r="S40" s="99"/>
      <c r="T40" s="81"/>
      <c r="U40" s="81"/>
      <c r="V40" s="81"/>
      <c r="W40" s="100"/>
      <c r="X40" s="99"/>
      <c r="Y40" s="81"/>
      <c r="Z40" s="81"/>
      <c r="AA40" s="81"/>
      <c r="AB40" s="81"/>
      <c r="AC40" s="99"/>
      <c r="AD40" s="81"/>
      <c r="AE40" s="81"/>
      <c r="AF40" s="81"/>
      <c r="AG40" s="81"/>
      <c r="AH40" s="101"/>
      <c r="AI40" s="81"/>
      <c r="AJ40" s="81"/>
      <c r="AK40" s="81"/>
      <c r="AL40" s="81"/>
      <c r="AM40" s="101"/>
      <c r="AN40" s="81"/>
      <c r="AO40" s="81"/>
      <c r="AP40" s="81"/>
      <c r="AQ40" s="81"/>
      <c r="AR40" s="101"/>
      <c r="AS40" s="81"/>
      <c r="AT40" s="81"/>
      <c r="AU40" s="81"/>
      <c r="AV40" s="100"/>
      <c r="AW40" s="1"/>
      <c r="AX40" s="1"/>
    </row>
    <row r="41" ht="17.25" customHeight="1">
      <c r="A41" s="84"/>
      <c r="B41" s="85">
        <v>6.1</v>
      </c>
      <c r="C41" s="86" t="s">
        <v>327</v>
      </c>
      <c r="D41" s="85" t="s">
        <v>17</v>
      </c>
      <c r="E41" s="87">
        <v>46335.0</v>
      </c>
      <c r="F41" s="87">
        <v>46337.0</v>
      </c>
      <c r="G41" s="88">
        <f t="shared" si="1"/>
        <v>3</v>
      </c>
      <c r="H41" s="96">
        <v>0.0</v>
      </c>
      <c r="I41" s="91"/>
      <c r="J41" s="90"/>
      <c r="K41" s="90"/>
      <c r="L41" s="91"/>
      <c r="M41" s="91"/>
      <c r="N41" s="92"/>
      <c r="O41" s="90"/>
      <c r="P41" s="91"/>
      <c r="Q41" s="91"/>
      <c r="R41" s="93"/>
      <c r="S41" s="94"/>
      <c r="T41" s="91"/>
      <c r="U41" s="91"/>
      <c r="V41" s="91"/>
      <c r="W41" s="83"/>
      <c r="X41" s="94"/>
      <c r="Y41" s="91"/>
      <c r="Z41" s="91"/>
      <c r="AA41" s="91"/>
      <c r="AB41" s="91"/>
      <c r="AC41" s="94"/>
      <c r="AD41" s="91"/>
      <c r="AE41" s="91"/>
      <c r="AF41" s="91"/>
      <c r="AG41" s="91"/>
      <c r="AH41" s="95"/>
      <c r="AI41" s="91"/>
      <c r="AJ41" s="91"/>
      <c r="AK41" s="91"/>
      <c r="AL41" s="91"/>
      <c r="AM41" s="95"/>
      <c r="AN41" s="108"/>
      <c r="AO41" s="108"/>
      <c r="AP41" s="91"/>
      <c r="AQ41" s="91"/>
      <c r="AR41" s="95"/>
      <c r="AS41" s="91"/>
      <c r="AT41" s="91"/>
      <c r="AU41" s="91"/>
      <c r="AV41" s="83"/>
      <c r="AW41" s="1"/>
      <c r="AX41" s="1"/>
    </row>
    <row r="42" ht="17.25" customHeight="1">
      <c r="A42" s="84"/>
      <c r="B42" s="85">
        <v>6.2</v>
      </c>
      <c r="C42" s="86" t="s">
        <v>328</v>
      </c>
      <c r="D42" s="86" t="s">
        <v>30</v>
      </c>
      <c r="E42" s="87">
        <v>46336.0</v>
      </c>
      <c r="F42" s="87">
        <v>46338.0</v>
      </c>
      <c r="G42" s="88">
        <f t="shared" si="1"/>
        <v>3</v>
      </c>
      <c r="H42" s="96">
        <v>0.0</v>
      </c>
      <c r="I42" s="91"/>
      <c r="J42" s="90"/>
      <c r="K42" s="90"/>
      <c r="L42" s="91"/>
      <c r="M42" s="91"/>
      <c r="N42" s="92"/>
      <c r="O42" s="90"/>
      <c r="P42" s="91"/>
      <c r="Q42" s="91"/>
      <c r="R42" s="93"/>
      <c r="S42" s="94"/>
      <c r="T42" s="91"/>
      <c r="U42" s="91"/>
      <c r="V42" s="91"/>
      <c r="W42" s="83"/>
      <c r="X42" s="94"/>
      <c r="Y42" s="91"/>
      <c r="Z42" s="91"/>
      <c r="AA42" s="91"/>
      <c r="AB42" s="91"/>
      <c r="AC42" s="94"/>
      <c r="AD42" s="91"/>
      <c r="AE42" s="91"/>
      <c r="AF42" s="91"/>
      <c r="AG42" s="91"/>
      <c r="AH42" s="95"/>
      <c r="AI42" s="91"/>
      <c r="AJ42" s="91"/>
      <c r="AK42" s="91"/>
      <c r="AL42" s="91"/>
      <c r="AM42" s="95"/>
      <c r="AN42" s="108"/>
      <c r="AO42" s="108"/>
      <c r="AP42" s="108"/>
      <c r="AQ42" s="91"/>
      <c r="AR42" s="95"/>
      <c r="AS42" s="91"/>
      <c r="AT42" s="91"/>
      <c r="AU42" s="91"/>
      <c r="AV42" s="83"/>
      <c r="AW42" s="1"/>
      <c r="AX42" s="1"/>
    </row>
    <row r="43" ht="17.25" customHeight="1">
      <c r="A43" s="84"/>
      <c r="B43" s="85">
        <v>6.3</v>
      </c>
      <c r="C43" s="86" t="s">
        <v>329</v>
      </c>
      <c r="D43" s="85" t="s">
        <v>17</v>
      </c>
      <c r="E43" s="87">
        <v>46337.0</v>
      </c>
      <c r="F43" s="87">
        <v>46339.0</v>
      </c>
      <c r="G43" s="88">
        <f t="shared" si="1"/>
        <v>3</v>
      </c>
      <c r="H43" s="96">
        <v>0.0</v>
      </c>
      <c r="I43" s="91"/>
      <c r="J43" s="90"/>
      <c r="K43" s="90"/>
      <c r="L43" s="91"/>
      <c r="M43" s="91"/>
      <c r="N43" s="92"/>
      <c r="O43" s="90"/>
      <c r="P43" s="91"/>
      <c r="Q43" s="91"/>
      <c r="R43" s="93"/>
      <c r="S43" s="94"/>
      <c r="T43" s="91"/>
      <c r="U43" s="91"/>
      <c r="V43" s="91"/>
      <c r="W43" s="83"/>
      <c r="X43" s="94"/>
      <c r="Y43" s="91"/>
      <c r="Z43" s="91"/>
      <c r="AA43" s="91"/>
      <c r="AB43" s="91"/>
      <c r="AC43" s="94"/>
      <c r="AD43" s="91"/>
      <c r="AE43" s="91"/>
      <c r="AF43" s="91"/>
      <c r="AG43" s="91"/>
      <c r="AH43" s="95"/>
      <c r="AI43" s="91"/>
      <c r="AJ43" s="91"/>
      <c r="AK43" s="91"/>
      <c r="AL43" s="91"/>
      <c r="AM43" s="95"/>
      <c r="AN43" s="91"/>
      <c r="AO43" s="108"/>
      <c r="AP43" s="108"/>
      <c r="AQ43" s="108"/>
      <c r="AR43" s="95"/>
      <c r="AS43" s="91"/>
      <c r="AT43" s="91"/>
      <c r="AU43" s="91"/>
      <c r="AV43" s="83"/>
      <c r="AW43" s="1"/>
      <c r="AX43" s="1"/>
    </row>
    <row r="44" ht="17.25" customHeight="1">
      <c r="A44" s="37"/>
      <c r="B44" s="76">
        <v>7.0</v>
      </c>
      <c r="C44" s="77" t="s">
        <v>330</v>
      </c>
      <c r="D44" s="76" t="s">
        <v>128</v>
      </c>
      <c r="E44" s="78">
        <v>46342.0</v>
      </c>
      <c r="F44" s="78">
        <v>46346.0</v>
      </c>
      <c r="G44" s="79">
        <f t="shared" si="1"/>
        <v>5</v>
      </c>
      <c r="H44" s="80">
        <f>AVERAGE(H45:H48)</f>
        <v>0</v>
      </c>
      <c r="I44" s="81"/>
      <c r="J44" s="97"/>
      <c r="K44" s="107"/>
      <c r="L44" s="107"/>
      <c r="M44" s="81"/>
      <c r="N44" s="98"/>
      <c r="O44" s="81"/>
      <c r="P44" s="81"/>
      <c r="Q44" s="81"/>
      <c r="R44" s="82"/>
      <c r="S44" s="99"/>
      <c r="T44" s="81"/>
      <c r="U44" s="81"/>
      <c r="V44" s="81"/>
      <c r="W44" s="100"/>
      <c r="X44" s="99"/>
      <c r="Y44" s="81"/>
      <c r="Z44" s="81"/>
      <c r="AA44" s="81"/>
      <c r="AB44" s="81"/>
      <c r="AC44" s="99"/>
      <c r="AD44" s="81"/>
      <c r="AE44" s="81"/>
      <c r="AF44" s="81"/>
      <c r="AG44" s="81"/>
      <c r="AH44" s="101"/>
      <c r="AI44" s="81"/>
      <c r="AJ44" s="81"/>
      <c r="AK44" s="81"/>
      <c r="AL44" s="81"/>
      <c r="AM44" s="101"/>
      <c r="AN44" s="81"/>
      <c r="AO44" s="81"/>
      <c r="AP44" s="81"/>
      <c r="AQ44" s="81"/>
      <c r="AR44" s="101"/>
      <c r="AS44" s="81"/>
      <c r="AT44" s="81"/>
      <c r="AU44" s="81"/>
      <c r="AV44" s="100"/>
      <c r="AW44" s="1"/>
      <c r="AX44" s="1"/>
    </row>
    <row r="45" ht="17.25" customHeight="1">
      <c r="A45" s="84"/>
      <c r="B45" s="85">
        <v>7.1</v>
      </c>
      <c r="C45" s="85" t="s">
        <v>331</v>
      </c>
      <c r="D45" s="85" t="s">
        <v>17</v>
      </c>
      <c r="E45" s="87">
        <v>46342.0</v>
      </c>
      <c r="F45" s="87">
        <v>46344.0</v>
      </c>
      <c r="G45" s="88">
        <f t="shared" si="1"/>
        <v>3</v>
      </c>
      <c r="H45" s="96">
        <v>0.0</v>
      </c>
      <c r="I45" s="91"/>
      <c r="J45" s="90"/>
      <c r="K45" s="90"/>
      <c r="L45" s="91"/>
      <c r="M45" s="91"/>
      <c r="N45" s="92"/>
      <c r="O45" s="90"/>
      <c r="P45" s="91"/>
      <c r="Q45" s="91"/>
      <c r="R45" s="93"/>
      <c r="S45" s="94"/>
      <c r="T45" s="91"/>
      <c r="U45" s="91"/>
      <c r="V45" s="91"/>
      <c r="W45" s="83"/>
      <c r="X45" s="94"/>
      <c r="Y45" s="91"/>
      <c r="Z45" s="91"/>
      <c r="AA45" s="91"/>
      <c r="AB45" s="91"/>
      <c r="AC45" s="94"/>
      <c r="AD45" s="91"/>
      <c r="AE45" s="91"/>
      <c r="AF45" s="91"/>
      <c r="AG45" s="91"/>
      <c r="AH45" s="95"/>
      <c r="AI45" s="91"/>
      <c r="AJ45" s="91"/>
      <c r="AK45" s="91"/>
      <c r="AL45" s="91"/>
      <c r="AM45" s="95"/>
      <c r="AN45" s="91"/>
      <c r="AO45" s="91"/>
      <c r="AP45" s="91"/>
      <c r="AQ45" s="91"/>
      <c r="AR45" s="95"/>
      <c r="AS45" s="108"/>
      <c r="AT45" s="108"/>
      <c r="AU45" s="91"/>
      <c r="AV45" s="83"/>
      <c r="AW45" s="1"/>
      <c r="AX45" s="1"/>
    </row>
    <row r="46" ht="17.25" customHeight="1">
      <c r="A46" s="109"/>
      <c r="B46" s="110">
        <v>7.2</v>
      </c>
      <c r="C46" s="110" t="s">
        <v>332</v>
      </c>
      <c r="D46" s="110" t="s">
        <v>17</v>
      </c>
      <c r="E46" s="111">
        <v>46342.0</v>
      </c>
      <c r="F46" s="111">
        <v>46345.0</v>
      </c>
      <c r="G46" s="112">
        <f t="shared" si="1"/>
        <v>4</v>
      </c>
      <c r="H46" s="113">
        <v>0.0</v>
      </c>
      <c r="I46" s="108"/>
      <c r="J46" s="114"/>
      <c r="K46" s="114"/>
      <c r="L46" s="108"/>
      <c r="M46" s="108"/>
      <c r="N46" s="115"/>
      <c r="O46" s="114"/>
      <c r="P46" s="108"/>
      <c r="Q46" s="108"/>
      <c r="R46" s="116"/>
      <c r="S46" s="95"/>
      <c r="T46" s="108"/>
      <c r="U46" s="108"/>
      <c r="V46" s="108"/>
      <c r="W46" s="117"/>
      <c r="X46" s="95"/>
      <c r="Y46" s="108"/>
      <c r="Z46" s="108"/>
      <c r="AA46" s="108"/>
      <c r="AB46" s="108"/>
      <c r="AC46" s="95"/>
      <c r="AD46" s="108"/>
      <c r="AE46" s="108"/>
      <c r="AF46" s="108"/>
      <c r="AG46" s="108"/>
      <c r="AH46" s="118"/>
      <c r="AI46" s="108"/>
      <c r="AJ46" s="108"/>
      <c r="AK46" s="108"/>
      <c r="AL46" s="108"/>
      <c r="AM46" s="118"/>
      <c r="AN46" s="108"/>
      <c r="AO46" s="108"/>
      <c r="AP46" s="108"/>
      <c r="AQ46" s="108"/>
      <c r="AR46" s="118"/>
      <c r="AS46" s="119"/>
      <c r="AT46" s="119"/>
      <c r="AU46" s="119"/>
      <c r="AV46" s="117"/>
      <c r="AW46" s="109"/>
      <c r="AX46" s="109"/>
    </row>
    <row r="47" ht="17.25" customHeight="1">
      <c r="A47" s="84"/>
      <c r="B47" s="85">
        <v>7.3</v>
      </c>
      <c r="C47" s="85" t="s">
        <v>333</v>
      </c>
      <c r="D47" s="85" t="s">
        <v>17</v>
      </c>
      <c r="E47" s="87">
        <v>46343.0</v>
      </c>
      <c r="F47" s="87">
        <v>46345.0</v>
      </c>
      <c r="G47" s="88">
        <f t="shared" si="1"/>
        <v>3</v>
      </c>
      <c r="H47" s="96">
        <v>0.0</v>
      </c>
      <c r="I47" s="91"/>
      <c r="J47" s="90"/>
      <c r="K47" s="90"/>
      <c r="L47" s="91"/>
      <c r="M47" s="91"/>
      <c r="N47" s="92"/>
      <c r="O47" s="90"/>
      <c r="P47" s="91"/>
      <c r="Q47" s="91"/>
      <c r="R47" s="93"/>
      <c r="S47" s="94"/>
      <c r="T47" s="91"/>
      <c r="U47" s="91"/>
      <c r="V47" s="91"/>
      <c r="W47" s="83"/>
      <c r="X47" s="94"/>
      <c r="Y47" s="91"/>
      <c r="Z47" s="91"/>
      <c r="AA47" s="91"/>
      <c r="AB47" s="91"/>
      <c r="AC47" s="94"/>
      <c r="AD47" s="91"/>
      <c r="AE47" s="91"/>
      <c r="AF47" s="91"/>
      <c r="AG47" s="91"/>
      <c r="AH47" s="95"/>
      <c r="AI47" s="91"/>
      <c r="AJ47" s="91"/>
      <c r="AK47" s="91"/>
      <c r="AL47" s="91"/>
      <c r="AM47" s="95"/>
      <c r="AN47" s="91"/>
      <c r="AO47" s="91"/>
      <c r="AP47" s="91"/>
      <c r="AQ47" s="91"/>
      <c r="AR47" s="95"/>
      <c r="AS47" s="108"/>
      <c r="AT47" s="108"/>
      <c r="AU47" s="108"/>
      <c r="AV47" s="83"/>
      <c r="AW47" s="1"/>
      <c r="AX47" s="1"/>
    </row>
    <row r="48" ht="17.25" customHeight="1">
      <c r="A48" s="84"/>
      <c r="B48" s="85">
        <v>7.4</v>
      </c>
      <c r="C48" s="106" t="s">
        <v>334</v>
      </c>
      <c r="D48" s="85" t="s">
        <v>17</v>
      </c>
      <c r="E48" s="87">
        <v>46344.0</v>
      </c>
      <c r="F48" s="87">
        <v>46346.0</v>
      </c>
      <c r="G48" s="88">
        <f t="shared" si="1"/>
        <v>3</v>
      </c>
      <c r="H48" s="96">
        <v>0.0</v>
      </c>
      <c r="I48" s="91"/>
      <c r="J48" s="90"/>
      <c r="K48" s="91"/>
      <c r="L48" s="91"/>
      <c r="M48" s="91"/>
      <c r="N48" s="92"/>
      <c r="O48" s="91"/>
      <c r="P48" s="91"/>
      <c r="Q48" s="91"/>
      <c r="R48" s="93"/>
      <c r="S48" s="94"/>
      <c r="T48" s="91"/>
      <c r="U48" s="91"/>
      <c r="V48" s="91"/>
      <c r="W48" s="83"/>
      <c r="X48" s="94"/>
      <c r="Y48" s="91"/>
      <c r="Z48" s="91"/>
      <c r="AA48" s="91"/>
      <c r="AB48" s="91"/>
      <c r="AC48" s="94"/>
      <c r="AD48" s="91"/>
      <c r="AE48" s="91"/>
      <c r="AF48" s="91"/>
      <c r="AG48" s="91"/>
      <c r="AH48" s="95"/>
      <c r="AI48" s="91"/>
      <c r="AJ48" s="91"/>
      <c r="AK48" s="91"/>
      <c r="AL48" s="91"/>
      <c r="AM48" s="95"/>
      <c r="AN48" s="91"/>
      <c r="AO48" s="91"/>
      <c r="AP48" s="91"/>
      <c r="AQ48" s="91"/>
      <c r="AR48" s="95"/>
      <c r="AS48" s="91"/>
      <c r="AT48" s="108"/>
      <c r="AU48" s="108"/>
      <c r="AV48" s="117"/>
      <c r="AW48" s="1"/>
      <c r="AX48" s="1"/>
    </row>
    <row r="49" ht="15.75" customHeight="1">
      <c r="B49" s="120"/>
      <c r="C49" s="120"/>
      <c r="D49" s="120"/>
      <c r="E49" s="120"/>
      <c r="F49" s="120"/>
      <c r="AW49" s="1"/>
      <c r="AX49" s="1"/>
    </row>
    <row r="50" ht="15.75" customHeight="1">
      <c r="B50" s="120"/>
      <c r="C50" s="120"/>
      <c r="D50" s="120"/>
      <c r="E50" s="121"/>
      <c r="F50" s="121"/>
      <c r="H50" s="122"/>
      <c r="AW50" s="1"/>
      <c r="AX50" s="1"/>
    </row>
    <row r="51" ht="15.75" customHeight="1">
      <c r="B51" s="120"/>
      <c r="C51" s="120"/>
      <c r="D51" s="120"/>
      <c r="E51" s="121"/>
      <c r="F51" s="121"/>
      <c r="H51" s="122"/>
      <c r="AW51" s="1"/>
      <c r="AX51" s="1"/>
    </row>
    <row r="52" ht="15.75" customHeight="1">
      <c r="B52" s="120"/>
      <c r="C52" s="120"/>
      <c r="D52" s="120"/>
      <c r="E52" s="121"/>
      <c r="F52" s="121"/>
      <c r="H52" s="122"/>
      <c r="AW52" s="1"/>
      <c r="AX52" s="1"/>
    </row>
    <row r="53" ht="15.75" customHeight="1">
      <c r="B53" s="120"/>
      <c r="C53" s="120"/>
      <c r="D53" s="120"/>
      <c r="E53" s="121"/>
      <c r="F53" s="121"/>
      <c r="H53" s="122"/>
      <c r="AW53" s="1"/>
      <c r="AX53" s="1"/>
    </row>
    <row r="54" ht="15.75" customHeight="1">
      <c r="B54" s="120"/>
      <c r="C54" s="120"/>
      <c r="D54" s="120"/>
      <c r="E54" s="121"/>
      <c r="F54" s="121"/>
      <c r="H54" s="122"/>
      <c r="AW54" s="1"/>
      <c r="AX54" s="1"/>
    </row>
    <row r="55" ht="15.75" customHeight="1">
      <c r="B55" s="120"/>
      <c r="C55" s="120"/>
      <c r="D55" s="120"/>
      <c r="E55" s="121"/>
      <c r="F55" s="121"/>
      <c r="H55" s="122"/>
      <c r="AW55" s="1"/>
      <c r="AX55" s="1"/>
    </row>
    <row r="56" ht="15.75" customHeight="1">
      <c r="B56" s="120"/>
      <c r="C56" s="120"/>
      <c r="D56" s="120"/>
      <c r="E56" s="121"/>
      <c r="F56" s="121"/>
      <c r="H56" s="122"/>
      <c r="AW56" s="1"/>
      <c r="AX56" s="1"/>
    </row>
    <row r="57" ht="15.75" customHeight="1">
      <c r="B57" s="120"/>
      <c r="C57" s="120"/>
      <c r="D57" s="120"/>
      <c r="E57" s="121"/>
      <c r="F57" s="121"/>
      <c r="H57" s="122"/>
      <c r="AW57" s="1"/>
      <c r="AX57" s="1"/>
    </row>
    <row r="58" ht="15.75" customHeight="1">
      <c r="B58" s="120"/>
      <c r="C58" s="120"/>
      <c r="D58" s="120"/>
      <c r="E58" s="121"/>
      <c r="F58" s="121"/>
      <c r="H58" s="122"/>
      <c r="AW58" s="1"/>
      <c r="AX58" s="1"/>
    </row>
    <row r="59" ht="15.75" customHeight="1">
      <c r="B59" s="120"/>
      <c r="C59" s="120"/>
      <c r="D59" s="120"/>
      <c r="E59" s="121"/>
      <c r="F59" s="121"/>
      <c r="H59" s="122"/>
      <c r="AW59" s="1"/>
      <c r="AX59" s="1"/>
    </row>
    <row r="60" ht="15.75" customHeight="1">
      <c r="B60" s="120"/>
      <c r="C60" s="120"/>
      <c r="D60" s="120"/>
      <c r="E60" s="121"/>
      <c r="F60" s="121"/>
      <c r="H60" s="122"/>
      <c r="AW60" s="1"/>
      <c r="AX60" s="1"/>
    </row>
    <row r="61" ht="15.75" customHeight="1">
      <c r="B61" s="120"/>
      <c r="C61" s="120"/>
      <c r="D61" s="120"/>
      <c r="E61" s="121"/>
      <c r="F61" s="121"/>
      <c r="H61" s="122"/>
      <c r="AW61" s="1"/>
      <c r="AX61" s="1"/>
    </row>
    <row r="62" ht="15.75" customHeight="1">
      <c r="B62" s="120"/>
      <c r="C62" s="120"/>
      <c r="D62" s="120"/>
      <c r="E62" s="121"/>
      <c r="F62" s="121"/>
      <c r="H62" s="122"/>
      <c r="AW62" s="1"/>
      <c r="AX62" s="1"/>
    </row>
    <row r="63" ht="15.75" customHeight="1">
      <c r="B63" s="120"/>
      <c r="C63" s="120"/>
      <c r="D63" s="120"/>
      <c r="E63" s="121"/>
      <c r="F63" s="121"/>
      <c r="H63" s="122"/>
      <c r="AW63" s="1"/>
      <c r="AX63" s="1"/>
    </row>
    <row r="64" ht="15.75" customHeight="1">
      <c r="B64" s="120"/>
      <c r="C64" s="120"/>
      <c r="D64" s="120"/>
      <c r="E64" s="121"/>
      <c r="F64" s="121"/>
      <c r="H64" s="122"/>
      <c r="AW64" s="1"/>
      <c r="AX64" s="1"/>
    </row>
    <row r="65" ht="15.75" customHeight="1">
      <c r="B65" s="120"/>
      <c r="C65" s="120"/>
      <c r="D65" s="120"/>
      <c r="E65" s="121"/>
      <c r="F65" s="121"/>
      <c r="H65" s="122"/>
      <c r="AW65" s="1"/>
      <c r="AX65" s="1"/>
    </row>
    <row r="66" ht="15.75" customHeight="1">
      <c r="B66" s="120"/>
      <c r="C66" s="120"/>
      <c r="D66" s="120"/>
      <c r="E66" s="121"/>
      <c r="F66" s="121"/>
      <c r="H66" s="122"/>
      <c r="AW66" s="1"/>
      <c r="AX66" s="1"/>
    </row>
    <row r="67" ht="15.75" customHeight="1">
      <c r="B67" s="120"/>
      <c r="C67" s="120"/>
      <c r="D67" s="120"/>
      <c r="E67" s="121"/>
      <c r="F67" s="121"/>
      <c r="H67" s="122"/>
      <c r="AW67" s="1"/>
      <c r="AX67" s="1"/>
    </row>
    <row r="68" ht="15.75" customHeight="1">
      <c r="B68" s="120"/>
      <c r="C68" s="120"/>
      <c r="D68" s="120"/>
      <c r="E68" s="121"/>
      <c r="F68" s="121"/>
      <c r="H68" s="122"/>
      <c r="AW68" s="1"/>
      <c r="AX68" s="1"/>
    </row>
    <row r="69" ht="15.75" customHeight="1">
      <c r="B69" s="120"/>
      <c r="C69" s="120"/>
      <c r="D69" s="120"/>
      <c r="E69" s="121"/>
      <c r="F69" s="121"/>
      <c r="H69" s="122"/>
      <c r="AW69" s="1"/>
      <c r="AX69" s="1"/>
    </row>
    <row r="70" ht="15.75" customHeight="1">
      <c r="B70" s="120"/>
      <c r="C70" s="120"/>
      <c r="D70" s="120"/>
      <c r="E70" s="121"/>
      <c r="F70" s="121"/>
      <c r="H70" s="122"/>
      <c r="AW70" s="1"/>
      <c r="AX70" s="1"/>
    </row>
    <row r="71" ht="15.75" customHeight="1">
      <c r="B71" s="120"/>
      <c r="C71" s="120"/>
      <c r="D71" s="120"/>
      <c r="E71" s="121"/>
      <c r="F71" s="121"/>
      <c r="H71" s="122"/>
      <c r="AW71" s="1"/>
      <c r="AX71" s="1"/>
    </row>
    <row r="72" ht="15.75" customHeight="1">
      <c r="B72" s="120"/>
      <c r="C72" s="120"/>
      <c r="D72" s="120"/>
      <c r="E72" s="121"/>
      <c r="F72" s="121"/>
      <c r="H72" s="122"/>
      <c r="AW72" s="1"/>
      <c r="AX72" s="1"/>
    </row>
    <row r="73" ht="15.75" customHeight="1">
      <c r="B73" s="120"/>
      <c r="C73" s="120"/>
      <c r="D73" s="120"/>
      <c r="E73" s="121"/>
      <c r="F73" s="121"/>
      <c r="H73" s="122"/>
      <c r="AW73" s="1"/>
      <c r="AX73" s="1"/>
    </row>
    <row r="74" ht="15.75" customHeight="1">
      <c r="B74" s="120"/>
      <c r="C74" s="120"/>
      <c r="D74" s="120"/>
      <c r="E74" s="121"/>
      <c r="F74" s="121"/>
      <c r="H74" s="122"/>
      <c r="AW74" s="1"/>
      <c r="AX74" s="1"/>
    </row>
    <row r="75" ht="15.75" customHeight="1">
      <c r="B75" s="120"/>
      <c r="C75" s="120"/>
      <c r="D75" s="120"/>
      <c r="E75" s="121"/>
      <c r="F75" s="121"/>
      <c r="H75" s="122"/>
      <c r="AW75" s="1"/>
      <c r="AX75" s="1"/>
    </row>
    <row r="76" ht="15.75" customHeight="1">
      <c r="B76" s="120"/>
      <c r="C76" s="120"/>
      <c r="D76" s="120"/>
      <c r="E76" s="121"/>
      <c r="F76" s="121"/>
      <c r="H76" s="122"/>
      <c r="AW76" s="1"/>
      <c r="AX76" s="1"/>
    </row>
    <row r="77" ht="15.75" customHeight="1">
      <c r="B77" s="120"/>
      <c r="C77" s="120"/>
      <c r="D77" s="120"/>
      <c r="E77" s="121"/>
      <c r="F77" s="121"/>
      <c r="H77" s="122"/>
      <c r="AW77" s="1"/>
      <c r="AX77" s="1"/>
    </row>
    <row r="78" ht="15.75" customHeight="1">
      <c r="B78" s="120"/>
      <c r="C78" s="120"/>
      <c r="D78" s="120"/>
      <c r="E78" s="121"/>
      <c r="F78" s="121"/>
      <c r="H78" s="122"/>
      <c r="AW78" s="1"/>
      <c r="AX78" s="1"/>
    </row>
    <row r="79" ht="15.75" customHeight="1">
      <c r="B79" s="120"/>
      <c r="C79" s="120"/>
      <c r="D79" s="120"/>
      <c r="E79" s="121"/>
      <c r="F79" s="121"/>
      <c r="H79" s="122"/>
      <c r="AW79" s="1"/>
      <c r="AX79" s="1"/>
    </row>
    <row r="80" ht="15.75" customHeight="1">
      <c r="B80" s="120"/>
      <c r="C80" s="120"/>
      <c r="D80" s="120"/>
      <c r="E80" s="121"/>
      <c r="F80" s="121"/>
      <c r="H80" s="122"/>
      <c r="AW80" s="1"/>
      <c r="AX80" s="1"/>
    </row>
    <row r="81" ht="15.75" customHeight="1">
      <c r="B81" s="120"/>
      <c r="C81" s="120"/>
      <c r="D81" s="120"/>
      <c r="E81" s="121"/>
      <c r="F81" s="121"/>
      <c r="H81" s="122"/>
      <c r="AW81" s="1"/>
      <c r="AX81" s="1"/>
    </row>
    <row r="82" ht="15.75" customHeight="1">
      <c r="B82" s="120"/>
      <c r="C82" s="120"/>
      <c r="D82" s="120"/>
      <c r="E82" s="121"/>
      <c r="F82" s="121"/>
      <c r="H82" s="122"/>
      <c r="AW82" s="1"/>
      <c r="AX82" s="1"/>
    </row>
    <row r="83" ht="15.75" customHeight="1">
      <c r="B83" s="120"/>
      <c r="C83" s="120"/>
      <c r="D83" s="120"/>
      <c r="E83" s="121"/>
      <c r="F83" s="121"/>
      <c r="H83" s="122"/>
      <c r="AW83" s="1"/>
      <c r="AX83" s="1"/>
    </row>
    <row r="84" ht="15.75" customHeight="1">
      <c r="B84" s="120"/>
      <c r="C84" s="120"/>
      <c r="D84" s="120"/>
      <c r="E84" s="121"/>
      <c r="F84" s="121"/>
      <c r="H84" s="122"/>
      <c r="AW84" s="1"/>
      <c r="AX84" s="1"/>
    </row>
    <row r="85" ht="15.75" customHeight="1">
      <c r="B85" s="120"/>
      <c r="C85" s="120"/>
      <c r="D85" s="120"/>
      <c r="E85" s="121"/>
      <c r="F85" s="121"/>
      <c r="H85" s="122"/>
      <c r="AW85" s="1"/>
      <c r="AX85" s="1"/>
    </row>
    <row r="86" ht="15.75" customHeight="1">
      <c r="B86" s="120"/>
      <c r="C86" s="120"/>
      <c r="D86" s="120"/>
      <c r="E86" s="121"/>
      <c r="F86" s="121"/>
      <c r="H86" s="122"/>
      <c r="AW86" s="1"/>
      <c r="AX86" s="1"/>
    </row>
    <row r="87" ht="15.75" customHeight="1">
      <c r="B87" s="120"/>
      <c r="C87" s="120"/>
      <c r="D87" s="120"/>
      <c r="E87" s="121"/>
      <c r="F87" s="121"/>
      <c r="H87" s="122"/>
      <c r="AW87" s="1"/>
      <c r="AX87" s="1"/>
    </row>
    <row r="88" ht="15.75" customHeight="1">
      <c r="B88" s="120"/>
      <c r="C88" s="120"/>
      <c r="D88" s="120"/>
      <c r="E88" s="121"/>
      <c r="F88" s="121"/>
      <c r="H88" s="122"/>
      <c r="AW88" s="1"/>
      <c r="AX88" s="1"/>
    </row>
    <row r="89" ht="15.75" customHeight="1">
      <c r="B89" s="120"/>
      <c r="C89" s="120"/>
      <c r="D89" s="120"/>
      <c r="E89" s="121"/>
      <c r="F89" s="121"/>
      <c r="H89" s="122"/>
      <c r="AW89" s="1"/>
      <c r="AX89" s="1"/>
    </row>
    <row r="90" ht="15.75" customHeight="1">
      <c r="B90" s="120"/>
      <c r="C90" s="120"/>
      <c r="D90" s="120"/>
      <c r="E90" s="120"/>
      <c r="F90" s="120"/>
      <c r="AW90" s="1"/>
      <c r="AX90" s="1"/>
    </row>
    <row r="91" ht="15.75" customHeight="1">
      <c r="B91" s="120"/>
      <c r="C91" s="120"/>
      <c r="D91" s="120"/>
      <c r="E91" s="120"/>
      <c r="F91" s="120"/>
      <c r="AW91" s="1"/>
      <c r="AX91" s="1"/>
    </row>
    <row r="92" ht="15.75" customHeight="1">
      <c r="B92" s="120"/>
      <c r="C92" s="120"/>
      <c r="D92" s="120"/>
      <c r="E92" s="120"/>
      <c r="F92" s="120"/>
      <c r="AW92" s="1"/>
      <c r="AX92" s="1"/>
    </row>
    <row r="93" ht="15.75" customHeight="1">
      <c r="B93" s="120"/>
      <c r="C93" s="120"/>
      <c r="D93" s="120"/>
      <c r="E93" s="120"/>
      <c r="F93" s="120"/>
      <c r="AW93" s="1"/>
      <c r="AX93" s="1"/>
    </row>
    <row r="94" ht="15.75" customHeight="1">
      <c r="B94" s="120"/>
      <c r="C94" s="120"/>
      <c r="D94" s="120"/>
      <c r="E94" s="120"/>
      <c r="F94" s="120"/>
      <c r="AW94" s="1"/>
      <c r="AX94" s="1"/>
    </row>
    <row r="95" ht="15.75" customHeight="1">
      <c r="B95" s="120"/>
      <c r="C95" s="120"/>
      <c r="D95" s="120"/>
      <c r="E95" s="120"/>
      <c r="F95" s="120"/>
      <c r="AW95" s="1"/>
      <c r="AX95" s="1"/>
    </row>
    <row r="96" ht="15.75" customHeight="1">
      <c r="B96" s="120"/>
      <c r="C96" s="120"/>
      <c r="D96" s="120"/>
      <c r="E96" s="120"/>
      <c r="F96" s="120"/>
      <c r="AW96" s="1"/>
      <c r="AX96" s="1"/>
    </row>
    <row r="97" ht="15.75" customHeight="1">
      <c r="B97" s="120"/>
      <c r="C97" s="120"/>
      <c r="D97" s="120"/>
      <c r="E97" s="120"/>
      <c r="F97" s="120"/>
      <c r="AW97" s="1"/>
      <c r="AX97" s="1"/>
    </row>
    <row r="98" ht="15.75" customHeight="1">
      <c r="B98" s="120"/>
      <c r="C98" s="120"/>
      <c r="D98" s="120"/>
      <c r="E98" s="120"/>
      <c r="F98" s="120"/>
      <c r="AW98" s="1"/>
      <c r="AX98" s="1"/>
    </row>
    <row r="99" ht="15.75" customHeight="1">
      <c r="B99" s="120"/>
      <c r="C99" s="120"/>
      <c r="D99" s="120"/>
      <c r="E99" s="120"/>
      <c r="F99" s="120"/>
      <c r="AW99" s="1"/>
      <c r="AX99" s="1"/>
    </row>
    <row r="100" ht="15.75" customHeight="1">
      <c r="B100" s="120"/>
      <c r="C100" s="120"/>
      <c r="D100" s="120"/>
      <c r="E100" s="120"/>
      <c r="F100" s="120"/>
      <c r="AW100" s="1"/>
      <c r="AX100" s="1"/>
    </row>
    <row r="101" ht="15.75" customHeight="1">
      <c r="B101" s="120"/>
      <c r="C101" s="120"/>
      <c r="D101" s="120"/>
      <c r="E101" s="120"/>
      <c r="F101" s="120"/>
      <c r="AW101" s="1"/>
      <c r="AX101" s="1"/>
    </row>
    <row r="102" ht="15.75" customHeight="1">
      <c r="B102" s="120"/>
      <c r="C102" s="120"/>
      <c r="D102" s="120"/>
      <c r="E102" s="120"/>
      <c r="F102" s="120"/>
      <c r="AW102" s="1"/>
      <c r="AX102" s="1"/>
    </row>
    <row r="103" ht="15.75" customHeight="1">
      <c r="B103" s="120"/>
      <c r="C103" s="120"/>
      <c r="D103" s="120"/>
      <c r="E103" s="120"/>
      <c r="F103" s="120"/>
      <c r="AW103" s="1"/>
      <c r="AX103" s="1"/>
    </row>
    <row r="104" ht="15.75" customHeight="1">
      <c r="B104" s="120"/>
      <c r="C104" s="120"/>
      <c r="D104" s="120"/>
      <c r="E104" s="120"/>
      <c r="F104" s="120"/>
      <c r="AW104" s="1"/>
      <c r="AX104" s="1"/>
    </row>
    <row r="105" ht="15.75" customHeight="1">
      <c r="B105" s="120"/>
      <c r="C105" s="120"/>
      <c r="D105" s="120"/>
      <c r="E105" s="120"/>
      <c r="F105" s="120"/>
      <c r="AW105" s="1"/>
      <c r="AX105" s="1"/>
    </row>
    <row r="106" ht="15.75" customHeight="1">
      <c r="B106" s="120"/>
      <c r="C106" s="120"/>
      <c r="D106" s="120"/>
      <c r="E106" s="120"/>
      <c r="F106" s="120"/>
      <c r="AW106" s="1"/>
      <c r="AX106" s="1"/>
    </row>
    <row r="107" ht="15.75" customHeight="1">
      <c r="B107" s="120"/>
      <c r="C107" s="120"/>
      <c r="D107" s="120"/>
      <c r="E107" s="120"/>
      <c r="F107" s="120"/>
      <c r="AW107" s="1"/>
      <c r="AX107" s="1"/>
    </row>
    <row r="108" ht="15.75" customHeight="1">
      <c r="B108" s="120"/>
      <c r="C108" s="120"/>
      <c r="D108" s="120"/>
      <c r="E108" s="120"/>
      <c r="F108" s="120"/>
      <c r="AW108" s="1"/>
      <c r="AX108" s="1"/>
    </row>
    <row r="109" ht="15.75" customHeight="1">
      <c r="B109" s="120"/>
      <c r="C109" s="120"/>
      <c r="D109" s="120"/>
      <c r="E109" s="120"/>
      <c r="F109" s="120"/>
      <c r="AW109" s="1"/>
      <c r="AX109" s="1"/>
    </row>
    <row r="110" ht="15.75" customHeight="1">
      <c r="B110" s="120"/>
      <c r="C110" s="120"/>
      <c r="D110" s="120"/>
      <c r="E110" s="120"/>
      <c r="F110" s="120"/>
      <c r="AW110" s="1"/>
      <c r="AX110" s="1"/>
    </row>
    <row r="111" ht="15.75" customHeight="1">
      <c r="B111" s="120"/>
      <c r="C111" s="120"/>
      <c r="D111" s="120"/>
      <c r="E111" s="120"/>
      <c r="F111" s="120"/>
      <c r="AW111" s="1"/>
      <c r="AX111" s="1"/>
    </row>
    <row r="112" ht="15.75" customHeight="1">
      <c r="B112" s="120"/>
      <c r="C112" s="120"/>
      <c r="D112" s="120"/>
      <c r="E112" s="120"/>
      <c r="F112" s="120"/>
      <c r="AW112" s="1"/>
      <c r="AX112" s="1"/>
    </row>
    <row r="113" ht="15.75" customHeight="1">
      <c r="B113" s="120"/>
      <c r="C113" s="120"/>
      <c r="D113" s="120"/>
      <c r="E113" s="120"/>
      <c r="F113" s="120"/>
      <c r="AW113" s="1"/>
      <c r="AX113" s="1"/>
    </row>
    <row r="114" ht="15.75" customHeight="1">
      <c r="B114" s="120"/>
      <c r="C114" s="120"/>
      <c r="D114" s="120"/>
      <c r="E114" s="120"/>
      <c r="F114" s="120"/>
      <c r="AW114" s="1"/>
      <c r="AX114" s="1"/>
    </row>
    <row r="115" ht="15.75" customHeight="1">
      <c r="B115" s="120"/>
      <c r="C115" s="120"/>
      <c r="D115" s="120"/>
      <c r="E115" s="120"/>
      <c r="F115" s="120"/>
      <c r="AW115" s="1"/>
      <c r="AX115" s="1"/>
    </row>
    <row r="116" ht="15.75" customHeight="1">
      <c r="B116" s="120"/>
      <c r="C116" s="120"/>
      <c r="D116" s="120"/>
      <c r="E116" s="120"/>
      <c r="F116" s="120"/>
      <c r="AW116" s="1"/>
      <c r="AX116" s="1"/>
    </row>
    <row r="117" ht="15.75" customHeight="1">
      <c r="B117" s="120"/>
      <c r="C117" s="120"/>
      <c r="D117" s="120"/>
      <c r="E117" s="120"/>
      <c r="F117" s="120"/>
      <c r="AW117" s="1"/>
      <c r="AX117" s="1"/>
    </row>
    <row r="118" ht="15.75" customHeight="1">
      <c r="B118" s="120"/>
      <c r="C118" s="120"/>
      <c r="D118" s="120"/>
      <c r="E118" s="120"/>
      <c r="F118" s="120"/>
      <c r="AW118" s="1"/>
      <c r="AX118" s="1"/>
    </row>
    <row r="119" ht="15.75" customHeight="1">
      <c r="B119" s="120"/>
      <c r="C119" s="120"/>
      <c r="D119" s="120"/>
      <c r="E119" s="120"/>
      <c r="F119" s="120"/>
      <c r="AW119" s="1"/>
      <c r="AX119" s="1"/>
    </row>
    <row r="120" ht="15.75" customHeight="1">
      <c r="B120" s="120"/>
      <c r="C120" s="120"/>
      <c r="D120" s="120"/>
      <c r="E120" s="120"/>
      <c r="F120" s="120"/>
      <c r="AW120" s="1"/>
      <c r="AX120" s="1"/>
    </row>
    <row r="121" ht="15.75" customHeight="1">
      <c r="B121" s="120"/>
      <c r="C121" s="120"/>
      <c r="D121" s="120"/>
      <c r="E121" s="120"/>
      <c r="F121" s="120"/>
      <c r="AW121" s="1"/>
      <c r="AX121" s="1"/>
    </row>
    <row r="122" ht="15.75" customHeight="1">
      <c r="B122" s="120"/>
      <c r="C122" s="120"/>
      <c r="D122" s="120"/>
      <c r="E122" s="120"/>
      <c r="F122" s="120"/>
      <c r="AW122" s="1"/>
      <c r="AX122" s="1"/>
    </row>
    <row r="123" ht="15.75" customHeight="1">
      <c r="B123" s="120"/>
      <c r="C123" s="120"/>
      <c r="D123" s="120"/>
      <c r="E123" s="120"/>
      <c r="F123" s="120"/>
      <c r="AW123" s="1"/>
      <c r="AX123" s="1"/>
    </row>
    <row r="124" ht="15.75" customHeight="1">
      <c r="B124" s="120"/>
      <c r="C124" s="120"/>
      <c r="D124" s="120"/>
      <c r="E124" s="120"/>
      <c r="F124" s="120"/>
      <c r="AW124" s="1"/>
      <c r="AX124" s="1"/>
    </row>
    <row r="125" ht="15.75" customHeight="1">
      <c r="B125" s="120"/>
      <c r="C125" s="120"/>
      <c r="D125" s="120"/>
      <c r="E125" s="120"/>
      <c r="F125" s="120"/>
      <c r="AW125" s="1"/>
      <c r="AX125" s="1"/>
    </row>
    <row r="126" ht="15.75" customHeight="1">
      <c r="B126" s="120"/>
      <c r="C126" s="120"/>
      <c r="D126" s="120"/>
      <c r="E126" s="120"/>
      <c r="F126" s="120"/>
      <c r="AW126" s="1"/>
      <c r="AX126" s="1"/>
    </row>
    <row r="127" ht="15.75" customHeight="1">
      <c r="B127" s="120"/>
      <c r="C127" s="120"/>
      <c r="D127" s="120"/>
      <c r="E127" s="120"/>
      <c r="F127" s="120"/>
      <c r="AW127" s="1"/>
      <c r="AX127" s="1"/>
    </row>
    <row r="128" ht="15.75" customHeight="1">
      <c r="B128" s="120"/>
      <c r="C128" s="120"/>
      <c r="D128" s="120"/>
      <c r="E128" s="120"/>
      <c r="F128" s="120"/>
      <c r="AW128" s="1"/>
      <c r="AX128" s="1"/>
    </row>
    <row r="129" ht="15.75" customHeight="1">
      <c r="B129" s="120"/>
      <c r="C129" s="120"/>
      <c r="D129" s="120"/>
      <c r="E129" s="120"/>
      <c r="F129" s="120"/>
      <c r="AW129" s="1"/>
      <c r="AX129" s="1"/>
    </row>
    <row r="130" ht="15.75" customHeight="1">
      <c r="B130" s="120"/>
      <c r="C130" s="120"/>
      <c r="D130" s="120"/>
      <c r="E130" s="120"/>
      <c r="F130" s="120"/>
      <c r="AW130" s="1"/>
      <c r="AX130" s="1"/>
    </row>
    <row r="131" ht="15.75" customHeight="1">
      <c r="B131" s="120"/>
      <c r="C131" s="120"/>
      <c r="D131" s="120"/>
      <c r="E131" s="120"/>
      <c r="F131" s="120"/>
      <c r="AW131" s="1"/>
      <c r="AX131" s="1"/>
    </row>
    <row r="132" ht="15.75" customHeight="1">
      <c r="B132" s="120"/>
      <c r="C132" s="120"/>
      <c r="D132" s="120"/>
      <c r="E132" s="120"/>
      <c r="F132" s="120"/>
      <c r="AW132" s="1"/>
      <c r="AX132" s="1"/>
    </row>
    <row r="133" ht="15.75" customHeight="1">
      <c r="B133" s="120"/>
      <c r="C133" s="120"/>
      <c r="D133" s="120"/>
      <c r="E133" s="120"/>
      <c r="F133" s="120"/>
      <c r="AW133" s="1"/>
      <c r="AX133" s="1"/>
    </row>
    <row r="134" ht="15.75" customHeight="1">
      <c r="B134" s="120"/>
      <c r="C134" s="120"/>
      <c r="D134" s="120"/>
      <c r="E134" s="120"/>
      <c r="F134" s="120"/>
      <c r="AW134" s="1"/>
      <c r="AX134" s="1"/>
    </row>
    <row r="135" ht="15.75" customHeight="1">
      <c r="B135" s="120"/>
      <c r="C135" s="120"/>
      <c r="D135" s="120"/>
      <c r="E135" s="120"/>
      <c r="F135" s="120"/>
      <c r="AW135" s="1"/>
      <c r="AX135" s="1"/>
    </row>
    <row r="136" ht="15.75" customHeight="1">
      <c r="B136" s="120"/>
      <c r="C136" s="120"/>
      <c r="D136" s="120"/>
      <c r="E136" s="120"/>
      <c r="F136" s="120"/>
      <c r="AW136" s="1"/>
      <c r="AX136" s="1"/>
    </row>
    <row r="137" ht="15.75" customHeight="1">
      <c r="B137" s="120"/>
      <c r="C137" s="120"/>
      <c r="D137" s="120"/>
      <c r="E137" s="120"/>
      <c r="F137" s="120"/>
      <c r="AW137" s="1"/>
      <c r="AX137" s="1"/>
    </row>
    <row r="138" ht="15.75" customHeight="1">
      <c r="B138" s="120"/>
      <c r="C138" s="120"/>
      <c r="D138" s="120"/>
      <c r="E138" s="120"/>
      <c r="F138" s="120"/>
      <c r="AW138" s="1"/>
      <c r="AX138" s="1"/>
    </row>
    <row r="139" ht="15.75" customHeight="1">
      <c r="B139" s="120"/>
      <c r="C139" s="120"/>
      <c r="D139" s="120"/>
      <c r="E139" s="120"/>
      <c r="F139" s="120"/>
      <c r="AW139" s="1"/>
      <c r="AX139" s="1"/>
    </row>
    <row r="140" ht="15.75" customHeight="1">
      <c r="B140" s="120"/>
      <c r="C140" s="120"/>
      <c r="D140" s="120"/>
      <c r="E140" s="120"/>
      <c r="F140" s="120"/>
      <c r="AW140" s="1"/>
      <c r="AX140" s="1"/>
    </row>
    <row r="141" ht="15.75" customHeight="1">
      <c r="B141" s="120"/>
      <c r="C141" s="120"/>
      <c r="D141" s="120"/>
      <c r="E141" s="120"/>
      <c r="F141" s="120"/>
      <c r="AW141" s="1"/>
      <c r="AX141" s="1"/>
    </row>
    <row r="142" ht="15.75" customHeight="1">
      <c r="B142" s="120"/>
      <c r="C142" s="120"/>
      <c r="D142" s="120"/>
      <c r="E142" s="120"/>
      <c r="F142" s="120"/>
      <c r="AW142" s="1"/>
      <c r="AX142" s="1"/>
    </row>
    <row r="143" ht="15.75" customHeight="1">
      <c r="B143" s="120"/>
      <c r="C143" s="120"/>
      <c r="D143" s="120"/>
      <c r="E143" s="120"/>
      <c r="F143" s="120"/>
      <c r="AW143" s="1"/>
      <c r="AX143" s="1"/>
    </row>
    <row r="144" ht="15.75" customHeight="1">
      <c r="B144" s="120"/>
      <c r="C144" s="120"/>
      <c r="D144" s="120"/>
      <c r="E144" s="120"/>
      <c r="F144" s="120"/>
      <c r="AW144" s="1"/>
      <c r="AX144" s="1"/>
    </row>
    <row r="145" ht="15.75" customHeight="1">
      <c r="B145" s="120"/>
      <c r="C145" s="120"/>
      <c r="D145" s="120"/>
      <c r="E145" s="120"/>
      <c r="F145" s="120"/>
      <c r="AW145" s="1"/>
      <c r="AX145" s="1"/>
    </row>
    <row r="146" ht="15.75" customHeight="1">
      <c r="B146" s="120"/>
      <c r="C146" s="120"/>
      <c r="D146" s="120"/>
      <c r="E146" s="120"/>
      <c r="F146" s="120"/>
      <c r="AW146" s="1"/>
      <c r="AX146" s="1"/>
    </row>
    <row r="147" ht="15.75" customHeight="1">
      <c r="B147" s="120"/>
      <c r="C147" s="120"/>
      <c r="D147" s="120"/>
      <c r="E147" s="120"/>
      <c r="F147" s="120"/>
      <c r="AW147" s="1"/>
      <c r="AX147" s="1"/>
    </row>
    <row r="148" ht="15.75" customHeight="1">
      <c r="B148" s="120"/>
      <c r="C148" s="120"/>
      <c r="D148" s="120"/>
      <c r="E148" s="120"/>
      <c r="F148" s="120"/>
      <c r="AW148" s="1"/>
      <c r="AX148" s="1"/>
    </row>
    <row r="149" ht="15.75" customHeight="1">
      <c r="B149" s="120"/>
      <c r="C149" s="120"/>
      <c r="D149" s="120"/>
      <c r="E149" s="120"/>
      <c r="F149" s="120"/>
      <c r="AW149" s="1"/>
      <c r="AX149" s="1"/>
    </row>
    <row r="150" ht="15.75" customHeight="1">
      <c r="B150" s="120"/>
      <c r="C150" s="120"/>
      <c r="D150" s="120"/>
      <c r="E150" s="120"/>
      <c r="F150" s="120"/>
      <c r="AW150" s="1"/>
      <c r="AX150" s="1"/>
    </row>
    <row r="151" ht="15.75" customHeight="1">
      <c r="B151" s="120"/>
      <c r="C151" s="120"/>
      <c r="D151" s="120"/>
      <c r="E151" s="120"/>
      <c r="F151" s="120"/>
      <c r="AW151" s="1"/>
      <c r="AX151" s="1"/>
    </row>
    <row r="152" ht="15.75" customHeight="1">
      <c r="B152" s="120"/>
      <c r="C152" s="120"/>
      <c r="D152" s="120"/>
      <c r="E152" s="120"/>
      <c r="F152" s="120"/>
      <c r="AW152" s="1"/>
      <c r="AX152" s="1"/>
    </row>
    <row r="153" ht="15.75" customHeight="1">
      <c r="B153" s="120"/>
      <c r="C153" s="120"/>
      <c r="D153" s="120"/>
      <c r="E153" s="120"/>
      <c r="F153" s="120"/>
      <c r="AW153" s="1"/>
      <c r="AX153" s="1"/>
    </row>
    <row r="154" ht="15.75" customHeight="1">
      <c r="B154" s="120"/>
      <c r="C154" s="120"/>
      <c r="D154" s="120"/>
      <c r="E154" s="120"/>
      <c r="F154" s="120"/>
      <c r="AW154" s="1"/>
      <c r="AX154" s="1"/>
    </row>
    <row r="155" ht="15.75" customHeight="1">
      <c r="B155" s="120"/>
      <c r="C155" s="120"/>
      <c r="D155" s="120"/>
      <c r="E155" s="120"/>
      <c r="F155" s="120"/>
      <c r="AW155" s="1"/>
      <c r="AX155" s="1"/>
    </row>
    <row r="156" ht="15.75" customHeight="1">
      <c r="B156" s="120"/>
      <c r="C156" s="120"/>
      <c r="D156" s="120"/>
      <c r="E156" s="120"/>
      <c r="F156" s="120"/>
      <c r="AW156" s="1"/>
      <c r="AX156" s="1"/>
    </row>
    <row r="157" ht="15.75" customHeight="1">
      <c r="B157" s="120"/>
      <c r="C157" s="120"/>
      <c r="D157" s="120"/>
      <c r="E157" s="120"/>
      <c r="F157" s="120"/>
      <c r="AW157" s="1"/>
      <c r="AX157" s="1"/>
    </row>
    <row r="158" ht="15.75" customHeight="1">
      <c r="B158" s="120"/>
      <c r="C158" s="120"/>
      <c r="D158" s="120"/>
      <c r="E158" s="120"/>
      <c r="F158" s="120"/>
      <c r="AW158" s="1"/>
      <c r="AX158" s="1"/>
    </row>
    <row r="159" ht="15.75" customHeight="1">
      <c r="B159" s="120"/>
      <c r="C159" s="120"/>
      <c r="D159" s="120"/>
      <c r="E159" s="120"/>
      <c r="F159" s="120"/>
      <c r="AW159" s="1"/>
      <c r="AX159" s="1"/>
    </row>
    <row r="160" ht="15.75" customHeight="1">
      <c r="B160" s="120"/>
      <c r="C160" s="120"/>
      <c r="D160" s="120"/>
      <c r="E160" s="120"/>
      <c r="F160" s="120"/>
      <c r="AW160" s="1"/>
      <c r="AX160" s="1"/>
    </row>
    <row r="161" ht="15.75" customHeight="1">
      <c r="B161" s="120"/>
      <c r="C161" s="120"/>
      <c r="D161" s="120"/>
      <c r="E161" s="120"/>
      <c r="F161" s="120"/>
      <c r="AW161" s="1"/>
      <c r="AX161" s="1"/>
    </row>
    <row r="162" ht="15.75" customHeight="1">
      <c r="B162" s="120"/>
      <c r="C162" s="120"/>
      <c r="D162" s="120"/>
      <c r="E162" s="120"/>
      <c r="F162" s="120"/>
      <c r="AW162" s="1"/>
      <c r="AX162" s="1"/>
    </row>
    <row r="163" ht="15.75" customHeight="1">
      <c r="B163" s="120"/>
      <c r="C163" s="120"/>
      <c r="D163" s="120"/>
      <c r="E163" s="120"/>
      <c r="F163" s="120"/>
      <c r="AW163" s="1"/>
      <c r="AX163" s="1"/>
    </row>
    <row r="164" ht="15.75" customHeight="1">
      <c r="B164" s="120"/>
      <c r="C164" s="120"/>
      <c r="D164" s="120"/>
      <c r="E164" s="120"/>
      <c r="F164" s="120"/>
      <c r="AW164" s="1"/>
      <c r="AX164" s="1"/>
    </row>
    <row r="165" ht="15.75" customHeight="1">
      <c r="B165" s="120"/>
      <c r="C165" s="120"/>
      <c r="D165" s="120"/>
      <c r="E165" s="120"/>
      <c r="F165" s="120"/>
      <c r="AW165" s="1"/>
      <c r="AX165" s="1"/>
    </row>
    <row r="166" ht="15.75" customHeight="1">
      <c r="B166" s="120"/>
      <c r="C166" s="120"/>
      <c r="D166" s="120"/>
      <c r="E166" s="120"/>
      <c r="F166" s="120"/>
      <c r="AW166" s="1"/>
      <c r="AX166" s="1"/>
    </row>
    <row r="167" ht="15.75" customHeight="1">
      <c r="B167" s="120"/>
      <c r="C167" s="120"/>
      <c r="D167" s="120"/>
      <c r="E167" s="120"/>
      <c r="F167" s="120"/>
      <c r="AW167" s="1"/>
      <c r="AX167" s="1"/>
    </row>
    <row r="168" ht="15.75" customHeight="1">
      <c r="B168" s="120"/>
      <c r="C168" s="120"/>
      <c r="D168" s="120"/>
      <c r="E168" s="120"/>
      <c r="F168" s="120"/>
      <c r="AW168" s="1"/>
      <c r="AX168" s="1"/>
    </row>
    <row r="169" ht="15.75" customHeight="1">
      <c r="B169" s="120"/>
      <c r="C169" s="120"/>
      <c r="D169" s="120"/>
      <c r="E169" s="120"/>
      <c r="F169" s="120"/>
      <c r="AW169" s="1"/>
      <c r="AX169" s="1"/>
    </row>
    <row r="170" ht="15.75" customHeight="1">
      <c r="B170" s="120"/>
      <c r="C170" s="120"/>
      <c r="D170" s="120"/>
      <c r="E170" s="120"/>
      <c r="F170" s="120"/>
      <c r="AW170" s="1"/>
      <c r="AX170" s="1"/>
    </row>
    <row r="171" ht="15.75" customHeight="1">
      <c r="B171" s="120"/>
      <c r="C171" s="120"/>
      <c r="D171" s="120"/>
      <c r="E171" s="120"/>
      <c r="F171" s="120"/>
      <c r="AW171" s="1"/>
      <c r="AX171" s="1"/>
    </row>
    <row r="172" ht="15.75" customHeight="1">
      <c r="B172" s="120"/>
      <c r="C172" s="120"/>
      <c r="D172" s="120"/>
      <c r="E172" s="120"/>
      <c r="F172" s="120"/>
      <c r="AW172" s="1"/>
      <c r="AX172" s="1"/>
    </row>
    <row r="173" ht="15.75" customHeight="1">
      <c r="B173" s="120"/>
      <c r="C173" s="120"/>
      <c r="D173" s="120"/>
      <c r="E173" s="120"/>
      <c r="F173" s="120"/>
      <c r="AW173" s="1"/>
      <c r="AX173" s="1"/>
    </row>
    <row r="174" ht="15.75" customHeight="1">
      <c r="B174" s="120"/>
      <c r="C174" s="120"/>
      <c r="D174" s="120"/>
      <c r="E174" s="120"/>
      <c r="F174" s="120"/>
      <c r="AW174" s="1"/>
      <c r="AX174" s="1"/>
    </row>
    <row r="175" ht="15.75" customHeight="1">
      <c r="B175" s="120"/>
      <c r="C175" s="120"/>
      <c r="D175" s="120"/>
      <c r="E175" s="120"/>
      <c r="F175" s="120"/>
      <c r="AW175" s="1"/>
      <c r="AX175" s="1"/>
    </row>
    <row r="176" ht="15.75" customHeight="1">
      <c r="B176" s="120"/>
      <c r="C176" s="120"/>
      <c r="D176" s="120"/>
      <c r="E176" s="120"/>
      <c r="F176" s="120"/>
      <c r="AW176" s="1"/>
      <c r="AX176" s="1"/>
    </row>
    <row r="177" ht="15.75" customHeight="1">
      <c r="B177" s="120"/>
      <c r="C177" s="120"/>
      <c r="D177" s="120"/>
      <c r="E177" s="120"/>
      <c r="F177" s="120"/>
      <c r="AW177" s="1"/>
      <c r="AX177" s="1"/>
    </row>
    <row r="178" ht="15.75" customHeight="1">
      <c r="B178" s="120"/>
      <c r="C178" s="120"/>
      <c r="D178" s="120"/>
      <c r="E178" s="120"/>
      <c r="F178" s="120"/>
      <c r="AW178" s="1"/>
      <c r="AX178" s="1"/>
    </row>
    <row r="179" ht="15.75" customHeight="1">
      <c r="B179" s="120"/>
      <c r="C179" s="120"/>
      <c r="D179" s="120"/>
      <c r="E179" s="120"/>
      <c r="F179" s="120"/>
      <c r="AW179" s="1"/>
      <c r="AX179" s="1"/>
    </row>
    <row r="180" ht="15.75" customHeight="1">
      <c r="B180" s="120"/>
      <c r="C180" s="120"/>
      <c r="D180" s="120"/>
      <c r="E180" s="120"/>
      <c r="F180" s="120"/>
      <c r="AW180" s="1"/>
      <c r="AX180" s="1"/>
    </row>
    <row r="181" ht="15.75" customHeight="1">
      <c r="B181" s="120"/>
      <c r="C181" s="120"/>
      <c r="D181" s="120"/>
      <c r="E181" s="120"/>
      <c r="F181" s="120"/>
      <c r="AW181" s="1"/>
      <c r="AX181" s="1"/>
    </row>
    <row r="182" ht="15.75" customHeight="1">
      <c r="B182" s="120"/>
      <c r="C182" s="120"/>
      <c r="D182" s="120"/>
      <c r="E182" s="120"/>
      <c r="F182" s="120"/>
      <c r="AW182" s="1"/>
      <c r="AX182" s="1"/>
    </row>
    <row r="183" ht="15.75" customHeight="1">
      <c r="B183" s="120"/>
      <c r="C183" s="120"/>
      <c r="D183" s="120"/>
      <c r="E183" s="120"/>
      <c r="F183" s="120"/>
      <c r="AW183" s="1"/>
      <c r="AX183" s="1"/>
    </row>
    <row r="184" ht="15.75" customHeight="1">
      <c r="B184" s="120"/>
      <c r="C184" s="120"/>
      <c r="D184" s="120"/>
      <c r="E184" s="120"/>
      <c r="F184" s="120"/>
      <c r="AW184" s="1"/>
      <c r="AX184" s="1"/>
    </row>
    <row r="185" ht="15.75" customHeight="1">
      <c r="B185" s="120"/>
      <c r="C185" s="120"/>
      <c r="D185" s="120"/>
      <c r="E185" s="120"/>
      <c r="F185" s="120"/>
      <c r="AW185" s="1"/>
      <c r="AX185" s="1"/>
    </row>
    <row r="186" ht="15.75" customHeight="1">
      <c r="B186" s="120"/>
      <c r="C186" s="120"/>
      <c r="D186" s="120"/>
      <c r="E186" s="120"/>
      <c r="F186" s="120"/>
      <c r="AW186" s="1"/>
      <c r="AX186" s="1"/>
    </row>
    <row r="187" ht="15.75" customHeight="1">
      <c r="B187" s="120"/>
      <c r="C187" s="120"/>
      <c r="D187" s="120"/>
      <c r="E187" s="120"/>
      <c r="F187" s="120"/>
      <c r="AW187" s="1"/>
      <c r="AX187" s="1"/>
    </row>
    <row r="188" ht="15.75" customHeight="1">
      <c r="B188" s="120"/>
      <c r="C188" s="120"/>
      <c r="D188" s="120"/>
      <c r="E188" s="120"/>
      <c r="F188" s="120"/>
      <c r="AW188" s="1"/>
      <c r="AX188" s="1"/>
    </row>
    <row r="189" ht="15.75" customHeight="1">
      <c r="B189" s="120"/>
      <c r="C189" s="120"/>
      <c r="D189" s="120"/>
      <c r="E189" s="120"/>
      <c r="F189" s="120"/>
      <c r="AW189" s="1"/>
      <c r="AX189" s="1"/>
    </row>
    <row r="190" ht="15.75" customHeight="1">
      <c r="B190" s="120"/>
      <c r="C190" s="120"/>
      <c r="D190" s="120"/>
      <c r="E190" s="120"/>
      <c r="F190" s="120"/>
      <c r="AW190" s="1"/>
      <c r="AX190" s="1"/>
    </row>
    <row r="191" ht="15.75" customHeight="1">
      <c r="B191" s="120"/>
      <c r="C191" s="120"/>
      <c r="D191" s="120"/>
      <c r="E191" s="120"/>
      <c r="F191" s="120"/>
      <c r="AW191" s="1"/>
      <c r="AX191" s="1"/>
    </row>
    <row r="192" ht="15.75" customHeight="1">
      <c r="B192" s="120"/>
      <c r="C192" s="120"/>
      <c r="D192" s="120"/>
      <c r="E192" s="120"/>
      <c r="F192" s="120"/>
      <c r="AW192" s="1"/>
      <c r="AX192" s="1"/>
    </row>
    <row r="193" ht="15.75" customHeight="1">
      <c r="B193" s="120"/>
      <c r="C193" s="120"/>
      <c r="D193" s="120"/>
      <c r="E193" s="120"/>
      <c r="F193" s="120"/>
      <c r="AW193" s="1"/>
      <c r="AX193" s="1"/>
    </row>
    <row r="194" ht="15.75" customHeight="1">
      <c r="B194" s="120"/>
      <c r="C194" s="120"/>
      <c r="D194" s="120"/>
      <c r="E194" s="120"/>
      <c r="F194" s="120"/>
      <c r="AW194" s="1"/>
      <c r="AX194" s="1"/>
    </row>
    <row r="195" ht="15.75" customHeight="1">
      <c r="B195" s="120"/>
      <c r="C195" s="120"/>
      <c r="D195" s="120"/>
      <c r="E195" s="120"/>
      <c r="F195" s="120"/>
      <c r="AW195" s="1"/>
      <c r="AX195" s="1"/>
    </row>
    <row r="196" ht="15.75" customHeight="1">
      <c r="B196" s="120"/>
      <c r="C196" s="120"/>
      <c r="D196" s="120"/>
      <c r="E196" s="120"/>
      <c r="F196" s="120"/>
      <c r="AW196" s="1"/>
      <c r="AX196" s="1"/>
    </row>
    <row r="197" ht="15.75" customHeight="1">
      <c r="B197" s="120"/>
      <c r="C197" s="120"/>
      <c r="D197" s="120"/>
      <c r="E197" s="120"/>
      <c r="F197" s="120"/>
      <c r="AW197" s="1"/>
      <c r="AX197" s="1"/>
    </row>
    <row r="198" ht="15.75" customHeight="1">
      <c r="B198" s="120"/>
      <c r="C198" s="120"/>
      <c r="D198" s="120"/>
      <c r="E198" s="120"/>
      <c r="F198" s="120"/>
      <c r="AW198" s="1"/>
      <c r="AX198" s="1"/>
    </row>
    <row r="199" ht="15.75" customHeight="1">
      <c r="B199" s="120"/>
      <c r="C199" s="120"/>
      <c r="D199" s="120"/>
      <c r="E199" s="120"/>
      <c r="F199" s="120"/>
      <c r="AW199" s="1"/>
      <c r="AX199" s="1"/>
    </row>
    <row r="200" ht="15.75" customHeight="1">
      <c r="B200" s="120"/>
      <c r="C200" s="120"/>
      <c r="D200" s="120"/>
      <c r="E200" s="120"/>
      <c r="F200" s="120"/>
      <c r="AW200" s="1"/>
      <c r="AX200" s="1"/>
    </row>
    <row r="201" ht="15.75" customHeight="1">
      <c r="B201" s="120"/>
      <c r="C201" s="120"/>
      <c r="D201" s="120"/>
      <c r="E201" s="120"/>
      <c r="F201" s="120"/>
      <c r="AW201" s="1"/>
      <c r="AX201" s="1"/>
    </row>
    <row r="202" ht="15.75" customHeight="1">
      <c r="B202" s="120"/>
      <c r="C202" s="120"/>
      <c r="D202" s="120"/>
      <c r="E202" s="120"/>
      <c r="F202" s="120"/>
      <c r="AW202" s="1"/>
      <c r="AX202" s="1"/>
    </row>
    <row r="203" ht="15.75" customHeight="1">
      <c r="B203" s="120"/>
      <c r="C203" s="120"/>
      <c r="D203" s="120"/>
      <c r="E203" s="120"/>
      <c r="F203" s="120"/>
      <c r="AW203" s="1"/>
      <c r="AX203" s="1"/>
    </row>
    <row r="204" ht="15.75" customHeight="1">
      <c r="B204" s="120"/>
      <c r="C204" s="120"/>
      <c r="D204" s="120"/>
      <c r="E204" s="120"/>
      <c r="F204" s="120"/>
      <c r="AW204" s="1"/>
      <c r="AX204" s="1"/>
    </row>
    <row r="205" ht="15.75" customHeight="1">
      <c r="B205" s="120"/>
      <c r="C205" s="120"/>
      <c r="D205" s="120"/>
      <c r="E205" s="120"/>
      <c r="F205" s="120"/>
      <c r="AW205" s="1"/>
      <c r="AX205" s="1"/>
    </row>
    <row r="206" ht="15.75" customHeight="1">
      <c r="B206" s="120"/>
      <c r="C206" s="120"/>
      <c r="D206" s="120"/>
      <c r="E206" s="120"/>
      <c r="F206" s="120"/>
      <c r="AW206" s="1"/>
      <c r="AX206" s="1"/>
    </row>
    <row r="207" ht="15.75" customHeight="1">
      <c r="B207" s="120"/>
      <c r="C207" s="120"/>
      <c r="D207" s="120"/>
      <c r="E207" s="120"/>
      <c r="F207" s="120"/>
      <c r="AW207" s="1"/>
      <c r="AX207" s="1"/>
    </row>
    <row r="208" ht="15.75" customHeight="1">
      <c r="B208" s="120"/>
      <c r="C208" s="120"/>
      <c r="D208" s="120"/>
      <c r="E208" s="120"/>
      <c r="F208" s="120"/>
      <c r="AW208" s="1"/>
      <c r="AX208" s="1"/>
    </row>
    <row r="209" ht="15.75" customHeight="1">
      <c r="B209" s="120"/>
      <c r="C209" s="120"/>
      <c r="D209" s="120"/>
      <c r="E209" s="120"/>
      <c r="F209" s="120"/>
      <c r="AW209" s="1"/>
      <c r="AX209" s="1"/>
    </row>
    <row r="210" ht="15.75" customHeight="1">
      <c r="B210" s="120"/>
      <c r="C210" s="120"/>
      <c r="D210" s="120"/>
      <c r="E210" s="120"/>
      <c r="F210" s="120"/>
      <c r="AW210" s="1"/>
      <c r="AX210" s="1"/>
    </row>
    <row r="211" ht="15.75" customHeight="1">
      <c r="B211" s="120"/>
      <c r="C211" s="120"/>
      <c r="D211" s="120"/>
      <c r="E211" s="120"/>
      <c r="F211" s="120"/>
      <c r="AW211" s="1"/>
      <c r="AX211" s="1"/>
    </row>
    <row r="212" ht="15.75" customHeight="1">
      <c r="B212" s="120"/>
      <c r="C212" s="120"/>
      <c r="D212" s="120"/>
      <c r="E212" s="120"/>
      <c r="F212" s="120"/>
      <c r="AW212" s="1"/>
      <c r="AX212" s="1"/>
    </row>
    <row r="213" ht="15.75" customHeight="1">
      <c r="B213" s="120"/>
      <c r="C213" s="120"/>
      <c r="D213" s="120"/>
      <c r="E213" s="120"/>
      <c r="F213" s="120"/>
      <c r="AW213" s="1"/>
      <c r="AX213" s="1"/>
    </row>
    <row r="214" ht="15.75" customHeight="1">
      <c r="B214" s="120"/>
      <c r="C214" s="120"/>
      <c r="D214" s="120"/>
      <c r="E214" s="120"/>
      <c r="F214" s="120"/>
      <c r="AW214" s="1"/>
      <c r="AX214" s="1"/>
    </row>
    <row r="215" ht="15.75" customHeight="1">
      <c r="B215" s="120"/>
      <c r="C215" s="120"/>
      <c r="D215" s="120"/>
      <c r="E215" s="120"/>
      <c r="F215" s="120"/>
      <c r="AW215" s="1"/>
      <c r="AX215" s="1"/>
    </row>
    <row r="216" ht="15.75" customHeight="1">
      <c r="B216" s="120"/>
      <c r="C216" s="120"/>
      <c r="D216" s="120"/>
      <c r="E216" s="120"/>
      <c r="F216" s="120"/>
      <c r="AW216" s="1"/>
      <c r="AX216" s="1"/>
    </row>
    <row r="217" ht="15.75" customHeight="1">
      <c r="B217" s="120"/>
      <c r="C217" s="120"/>
      <c r="D217" s="120"/>
      <c r="E217" s="120"/>
      <c r="F217" s="120"/>
      <c r="AW217" s="1"/>
      <c r="AX217" s="1"/>
    </row>
    <row r="218" ht="15.75" customHeight="1">
      <c r="B218" s="120"/>
      <c r="C218" s="120"/>
      <c r="D218" s="120"/>
      <c r="E218" s="120"/>
      <c r="F218" s="120"/>
      <c r="AW218" s="1"/>
      <c r="AX218" s="1"/>
    </row>
    <row r="219" ht="15.75" customHeight="1">
      <c r="B219" s="120"/>
      <c r="C219" s="120"/>
      <c r="D219" s="120"/>
      <c r="E219" s="120"/>
      <c r="F219" s="120"/>
      <c r="AW219" s="1"/>
      <c r="AX219" s="1"/>
    </row>
    <row r="220" ht="15.75" customHeight="1">
      <c r="B220" s="120"/>
      <c r="C220" s="120"/>
      <c r="D220" s="120"/>
      <c r="E220" s="120"/>
      <c r="F220" s="120"/>
      <c r="AW220" s="1"/>
      <c r="AX220" s="1"/>
    </row>
    <row r="221" ht="15.75" customHeight="1">
      <c r="B221" s="120"/>
      <c r="C221" s="120"/>
      <c r="D221" s="120"/>
      <c r="E221" s="120"/>
      <c r="F221" s="120"/>
      <c r="AW221" s="1"/>
      <c r="AX221" s="1"/>
    </row>
    <row r="222" ht="15.75" customHeight="1">
      <c r="B222" s="120"/>
      <c r="C222" s="120"/>
      <c r="D222" s="120"/>
      <c r="E222" s="120"/>
      <c r="F222" s="120"/>
      <c r="AW222" s="1"/>
      <c r="AX222" s="1"/>
    </row>
    <row r="223" ht="15.75" customHeight="1">
      <c r="B223" s="120"/>
      <c r="C223" s="120"/>
      <c r="D223" s="120"/>
      <c r="E223" s="120"/>
      <c r="F223" s="120"/>
      <c r="AW223" s="1"/>
      <c r="AX223" s="1"/>
    </row>
    <row r="224" ht="15.75" customHeight="1">
      <c r="B224" s="120"/>
      <c r="C224" s="120"/>
      <c r="D224" s="120"/>
      <c r="E224" s="120"/>
      <c r="F224" s="120"/>
      <c r="AW224" s="1"/>
      <c r="AX224" s="1"/>
    </row>
    <row r="225" ht="15.75" customHeight="1">
      <c r="B225" s="120"/>
      <c r="C225" s="120"/>
      <c r="D225" s="120"/>
      <c r="E225" s="120"/>
      <c r="F225" s="120"/>
      <c r="AW225" s="1"/>
      <c r="AX225" s="1"/>
    </row>
    <row r="226" ht="15.75" customHeight="1">
      <c r="B226" s="120"/>
      <c r="C226" s="120"/>
      <c r="D226" s="120"/>
      <c r="E226" s="120"/>
      <c r="F226" s="120"/>
      <c r="AW226" s="1"/>
      <c r="AX226" s="1"/>
    </row>
    <row r="227" ht="15.75" customHeight="1">
      <c r="B227" s="120"/>
      <c r="C227" s="120"/>
      <c r="D227" s="120"/>
      <c r="E227" s="120"/>
      <c r="F227" s="120"/>
      <c r="AW227" s="1"/>
      <c r="AX227" s="1"/>
    </row>
    <row r="228" ht="15.75" customHeight="1">
      <c r="B228" s="120"/>
      <c r="C228" s="120"/>
      <c r="D228" s="120"/>
      <c r="E228" s="120"/>
      <c r="F228" s="120"/>
      <c r="AW228" s="1"/>
      <c r="AX228" s="1"/>
    </row>
    <row r="229" ht="15.75" customHeight="1">
      <c r="B229" s="120"/>
      <c r="C229" s="120"/>
      <c r="D229" s="120"/>
      <c r="E229" s="120"/>
      <c r="F229" s="120"/>
      <c r="AW229" s="1"/>
      <c r="AX229" s="1"/>
    </row>
    <row r="230" ht="15.75" customHeight="1">
      <c r="B230" s="120"/>
      <c r="C230" s="120"/>
      <c r="D230" s="120"/>
      <c r="E230" s="120"/>
      <c r="F230" s="120"/>
      <c r="AW230" s="1"/>
      <c r="AX230" s="1"/>
    </row>
    <row r="231" ht="15.75" customHeight="1">
      <c r="B231" s="120"/>
      <c r="C231" s="120"/>
      <c r="D231" s="120"/>
      <c r="E231" s="120"/>
      <c r="F231" s="120"/>
      <c r="AW231" s="1"/>
      <c r="AX231" s="1"/>
    </row>
    <row r="232" ht="15.75" customHeight="1">
      <c r="B232" s="120"/>
      <c r="C232" s="120"/>
      <c r="D232" s="120"/>
      <c r="E232" s="120"/>
      <c r="F232" s="120"/>
      <c r="AW232" s="1"/>
      <c r="AX232" s="1"/>
    </row>
    <row r="233" ht="15.75" customHeight="1">
      <c r="B233" s="120"/>
      <c r="C233" s="120"/>
      <c r="D233" s="120"/>
      <c r="E233" s="120"/>
      <c r="F233" s="120"/>
      <c r="AW233" s="1"/>
      <c r="AX233" s="1"/>
    </row>
    <row r="234" ht="15.75" customHeight="1">
      <c r="B234" s="120"/>
      <c r="C234" s="120"/>
      <c r="D234" s="120"/>
      <c r="E234" s="120"/>
      <c r="F234" s="120"/>
      <c r="AW234" s="1"/>
      <c r="AX234" s="1"/>
    </row>
    <row r="235" ht="15.75" customHeight="1">
      <c r="B235" s="120"/>
      <c r="C235" s="120"/>
      <c r="D235" s="120"/>
      <c r="E235" s="120"/>
      <c r="F235" s="120"/>
      <c r="AW235" s="1"/>
      <c r="AX235" s="1"/>
    </row>
    <row r="236" ht="15.75" customHeight="1">
      <c r="B236" s="120"/>
      <c r="C236" s="120"/>
      <c r="D236" s="120"/>
      <c r="E236" s="120"/>
      <c r="F236" s="120"/>
      <c r="AW236" s="1"/>
      <c r="AX236" s="1"/>
    </row>
    <row r="237" ht="15.75" customHeight="1">
      <c r="B237" s="120"/>
      <c r="C237" s="120"/>
      <c r="D237" s="120"/>
      <c r="E237" s="120"/>
      <c r="F237" s="120"/>
      <c r="AW237" s="1"/>
      <c r="AX237" s="1"/>
    </row>
    <row r="238" ht="15.75" customHeight="1">
      <c r="B238" s="120"/>
      <c r="C238" s="120"/>
      <c r="D238" s="120"/>
      <c r="E238" s="120"/>
      <c r="F238" s="120"/>
      <c r="AW238" s="1"/>
      <c r="AX238" s="1"/>
    </row>
    <row r="239" ht="15.75" customHeight="1">
      <c r="B239" s="120"/>
      <c r="C239" s="120"/>
      <c r="D239" s="120"/>
      <c r="E239" s="120"/>
      <c r="F239" s="120"/>
      <c r="AW239" s="1"/>
      <c r="AX239" s="1"/>
    </row>
    <row r="240" ht="15.75" customHeight="1">
      <c r="B240" s="120"/>
      <c r="C240" s="120"/>
      <c r="D240" s="120"/>
      <c r="E240" s="120"/>
      <c r="F240" s="120"/>
      <c r="AW240" s="1"/>
      <c r="AX240" s="1"/>
    </row>
    <row r="241" ht="15.75" customHeight="1">
      <c r="B241" s="120"/>
      <c r="C241" s="120"/>
      <c r="D241" s="120"/>
      <c r="E241" s="120"/>
      <c r="F241" s="120"/>
      <c r="AW241" s="1"/>
      <c r="AX241" s="1"/>
    </row>
    <row r="242" ht="15.75" customHeight="1">
      <c r="B242" s="120"/>
      <c r="C242" s="120"/>
      <c r="D242" s="120"/>
      <c r="E242" s="120"/>
      <c r="F242" s="120"/>
      <c r="AW242" s="1"/>
      <c r="AX242" s="1"/>
    </row>
    <row r="243" ht="15.75" customHeight="1">
      <c r="B243" s="120"/>
      <c r="C243" s="120"/>
      <c r="D243" s="120"/>
      <c r="E243" s="120"/>
      <c r="F243" s="120"/>
      <c r="AW243" s="1"/>
      <c r="AX243" s="1"/>
    </row>
    <row r="244" ht="15.75" customHeight="1">
      <c r="B244" s="120"/>
      <c r="C244" s="120"/>
      <c r="D244" s="120"/>
      <c r="E244" s="120"/>
      <c r="F244" s="120"/>
      <c r="AW244" s="1"/>
      <c r="AX244" s="1"/>
    </row>
    <row r="245" ht="15.75" customHeight="1">
      <c r="B245" s="120"/>
      <c r="C245" s="120"/>
      <c r="D245" s="120"/>
      <c r="E245" s="120"/>
      <c r="F245" s="120"/>
      <c r="AW245" s="1"/>
      <c r="AX245" s="1"/>
    </row>
    <row r="246" ht="15.75" customHeight="1">
      <c r="B246" s="120"/>
      <c r="C246" s="120"/>
      <c r="D246" s="120"/>
      <c r="E246" s="120"/>
      <c r="F246" s="120"/>
      <c r="AW246" s="1"/>
      <c r="AX246" s="1"/>
    </row>
    <row r="247" ht="15.75" customHeight="1">
      <c r="B247" s="120"/>
      <c r="C247" s="120"/>
      <c r="D247" s="120"/>
      <c r="E247" s="120"/>
      <c r="F247" s="120"/>
      <c r="AW247" s="1"/>
      <c r="AX247" s="1"/>
    </row>
    <row r="248" ht="15.75" customHeight="1">
      <c r="B248" s="120"/>
      <c r="C248" s="120"/>
      <c r="D248" s="120"/>
      <c r="E248" s="120"/>
      <c r="F248" s="120"/>
      <c r="AW248" s="1"/>
      <c r="AX248" s="1"/>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G2"/>
    <mergeCell ref="I2:N2"/>
    <mergeCell ref="O2:AG2"/>
    <mergeCell ref="B4:C4"/>
    <mergeCell ref="D4:G4"/>
    <mergeCell ref="B5:C5"/>
    <mergeCell ref="D5:G5"/>
    <mergeCell ref="L7:N7"/>
    <mergeCell ref="V7:W7"/>
    <mergeCell ref="AU7:AV7"/>
    <mergeCell ref="I8:W8"/>
    <mergeCell ref="X8:AL8"/>
    <mergeCell ref="AM8:AV8"/>
    <mergeCell ref="I4:K4"/>
    <mergeCell ref="J5:K5"/>
    <mergeCell ref="B6:C6"/>
    <mergeCell ref="D6:G6"/>
    <mergeCell ref="J6:K6"/>
    <mergeCell ref="B7:H7"/>
    <mergeCell ref="I7:K7"/>
    <mergeCell ref="I9:M9"/>
    <mergeCell ref="N9:R9"/>
    <mergeCell ref="S9:W9"/>
    <mergeCell ref="X9:AB9"/>
    <mergeCell ref="AC9:AG9"/>
    <mergeCell ref="AH9:AL9"/>
    <mergeCell ref="AM9:AQ9"/>
    <mergeCell ref="AR9:AV9"/>
    <mergeCell ref="B8:B10"/>
    <mergeCell ref="C8:C10"/>
    <mergeCell ref="D8:D10"/>
    <mergeCell ref="E8:E10"/>
    <mergeCell ref="F8:F10"/>
    <mergeCell ref="G8:G10"/>
    <mergeCell ref="H8:H10"/>
  </mergeCells>
  <conditionalFormatting sqref="I11:AV48">
    <cfRule type="expression" dxfId="0" priority="1">
      <formula>AND(AND(ISNUMBER($E11),ISNUMBER($F11),$F11&gt;=$E11,I$10&gt;=$E11,I$10&lt;=$F11,COUNTIFS($I$5:$I$6,I$10)=0,NETWORKDAYS($E11,I$10,$I$5:$I$6)&gt;0),ISNUMBER($H11),$H11&gt;0,ISNUMBER($G11),NETWORKDAYS($E11,I$10,$I$5:$I$6)&lt;=ROUND($G11*$H11/100,0))</formula>
    </cfRule>
  </conditionalFormatting>
  <conditionalFormatting sqref="I11:AV48">
    <cfRule type="expression" dxfId="1" priority="2">
      <formula>AND(ISNUMBER($E11),ISNUMBER($F11),$F11&gt;=$E11,I$10&gt;=$E11,I$10&lt;=$F11,COUNTIFS($I$5:$I$6,I$10)=0,NETWORKDAYS($E11,I$10,$I$5:$I$6)&gt;0)</formula>
    </cfRule>
  </conditionalFormatting>
  <dataValidations>
    <dataValidation type="decimal" allowBlank="1" sqref="H12:H16 H18:H22 H24:H27 H29:H34 H36:H39 H41:H43 H45:H48">
      <formula1>0.0</formula1>
      <formula2>100.0</formula2>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9.5"/>
    <col customWidth="1" min="2" max="2" width="27.63"/>
    <col customWidth="1" min="3" max="3" width="12.63"/>
    <col customWidth="1" min="4" max="4" width="45.13"/>
    <col customWidth="1" min="5" max="5" width="26.38"/>
    <col customWidth="1" min="6" max="6" width="43.88"/>
    <col customWidth="1" min="7" max="7" width="27.63"/>
    <col customWidth="1" min="8" max="8" width="10.75"/>
    <col customWidth="1" min="9" max="9" width="18.88"/>
    <col customWidth="1" min="10" max="10" width="40.13"/>
  </cols>
  <sheetData>
    <row r="1" ht="25.5" customHeight="1">
      <c r="A1" s="3" t="s">
        <v>0</v>
      </c>
    </row>
    <row r="2" ht="26.25" customHeight="1">
      <c r="A2" s="10" t="s">
        <v>1</v>
      </c>
    </row>
    <row r="3">
      <c r="A3" s="10"/>
      <c r="B3" s="10"/>
      <c r="C3" s="10"/>
      <c r="D3" s="10"/>
      <c r="E3" s="10"/>
      <c r="F3" s="10"/>
      <c r="G3" s="10"/>
      <c r="H3" s="10"/>
      <c r="I3" s="10"/>
      <c r="J3" s="10"/>
    </row>
    <row r="4" ht="22.5" customHeight="1">
      <c r="A4" s="13" t="s">
        <v>2</v>
      </c>
      <c r="B4" s="13" t="s">
        <v>3</v>
      </c>
      <c r="C4" s="13" t="s">
        <v>4</v>
      </c>
      <c r="D4" s="13" t="s">
        <v>5</v>
      </c>
      <c r="E4" s="13" t="s">
        <v>6</v>
      </c>
      <c r="F4" s="13" t="s">
        <v>7</v>
      </c>
      <c r="G4" s="13" t="s">
        <v>8</v>
      </c>
      <c r="H4" s="13" t="s">
        <v>9</v>
      </c>
      <c r="I4" s="13" t="s">
        <v>10</v>
      </c>
      <c r="J4" s="13" t="s">
        <v>11</v>
      </c>
    </row>
    <row r="5">
      <c r="A5" s="10">
        <f>'갠트 차트 템플릿'!B12</f>
        <v>1</v>
      </c>
      <c r="B5" s="10" t="str">
        <f>'갠트 차트 템플릿'!C12</f>
        <v>주제 확정 후 재기획 및 아키텍처 보완</v>
      </c>
      <c r="C5" s="10" t="str">
        <f>'갠트 차트 템플릿'!D12</f>
        <v>송지섭</v>
      </c>
      <c r="D5" s="24" t="s">
        <v>13</v>
      </c>
      <c r="E5" s="10" t="s">
        <v>14</v>
      </c>
      <c r="F5" s="24" t="s">
        <v>15</v>
      </c>
      <c r="G5" s="10" t="s">
        <v>16</v>
      </c>
      <c r="H5" s="10" t="s">
        <v>17</v>
      </c>
      <c r="I5" s="10" t="s">
        <v>18</v>
      </c>
      <c r="J5" s="24" t="s">
        <v>19</v>
      </c>
    </row>
    <row r="6">
      <c r="A6" s="10">
        <f>'갠트 차트 템플릿'!B13</f>
        <v>1.1</v>
      </c>
      <c r="B6" s="10" t="str">
        <f>'갠트 차트 템플릿'!C13</f>
        <v>도로공사서비스 규정 및 평가표 분석</v>
      </c>
      <c r="C6" s="10" t="str">
        <f>'갠트 차트 템플릿'!D13</f>
        <v>신가을</v>
      </c>
      <c r="D6" s="10" t="s">
        <v>23</v>
      </c>
      <c r="E6" s="10" t="s">
        <v>24</v>
      </c>
      <c r="F6" s="10" t="s">
        <v>25</v>
      </c>
      <c r="G6" s="10" t="s">
        <v>26</v>
      </c>
      <c r="H6" s="10" t="s">
        <v>17</v>
      </c>
      <c r="I6" s="10" t="s">
        <v>27</v>
      </c>
      <c r="J6" s="10" t="s">
        <v>28</v>
      </c>
    </row>
    <row r="7">
      <c r="A7" s="10">
        <f>'갠트 차트 템플릿'!B14</f>
        <v>1.2</v>
      </c>
      <c r="B7" s="10" t="str">
        <f>'갠트 차트 템플릿'!C14</f>
        <v>요구사항 정의서 및 WBS 작성</v>
      </c>
      <c r="C7" s="10" t="str">
        <f>'갠트 차트 템플릿'!D14</f>
        <v>오호민</v>
      </c>
      <c r="D7" s="10" t="s">
        <v>31</v>
      </c>
      <c r="E7" s="10" t="s">
        <v>14</v>
      </c>
      <c r="F7" s="24" t="s">
        <v>32</v>
      </c>
      <c r="G7" s="10" t="s">
        <v>33</v>
      </c>
      <c r="H7" s="10" t="s">
        <v>17</v>
      </c>
      <c r="I7" s="10" t="s">
        <v>34</v>
      </c>
      <c r="J7" s="10" t="s">
        <v>35</v>
      </c>
    </row>
    <row r="8">
      <c r="A8" s="10">
        <f>'갠트 차트 템플릿'!B15</f>
        <v>1.3</v>
      </c>
      <c r="B8" s="10" t="str">
        <f>'갠트 차트 템플릿'!C15</f>
        <v>화면 흐름 및 UI/UX 와이어프레임 설계</v>
      </c>
      <c r="C8" s="10" t="str">
        <f>'갠트 차트 템플릿'!D15</f>
        <v>김영석, 이준희</v>
      </c>
      <c r="D8" s="35" t="s">
        <v>37</v>
      </c>
      <c r="E8" s="10" t="s">
        <v>38</v>
      </c>
      <c r="F8" s="10" t="s">
        <v>39</v>
      </c>
      <c r="G8" s="35" t="s">
        <v>40</v>
      </c>
      <c r="H8" s="10" t="s">
        <v>17</v>
      </c>
      <c r="I8" s="10" t="s">
        <v>41</v>
      </c>
      <c r="J8" s="10" t="s">
        <v>42</v>
      </c>
    </row>
    <row r="9">
      <c r="A9" s="10">
        <f>'갠트 차트 템플릿'!B16</f>
        <v>1.4</v>
      </c>
      <c r="B9" s="10" t="str">
        <f>'갠트 차트 템플릿'!C16</f>
        <v>수자원공사 규정·AI 학습자료 조사</v>
      </c>
      <c r="C9" s="10" t="str">
        <f>'갠트 차트 템플릿'!D16</f>
        <v>이준희, 오호민</v>
      </c>
      <c r="D9" s="10" t="s">
        <v>44</v>
      </c>
      <c r="E9" s="10" t="s">
        <v>45</v>
      </c>
      <c r="F9" s="10" t="s">
        <v>46</v>
      </c>
      <c r="G9" s="10" t="s">
        <v>47</v>
      </c>
      <c r="H9" s="10" t="s">
        <v>17</v>
      </c>
      <c r="I9" s="10" t="s">
        <v>48</v>
      </c>
      <c r="J9" s="24" t="s">
        <v>49</v>
      </c>
    </row>
    <row r="10">
      <c r="A10" s="10">
        <f>'갠트 차트 템플릿'!B18</f>
        <v>2.1</v>
      </c>
      <c r="B10" s="10" t="str">
        <f>'갠트 차트 템플릿'!C18</f>
        <v>Git 저장소 및 소통 DM, 노션 생성</v>
      </c>
      <c r="C10" s="10" t="str">
        <f>'갠트 차트 템플릿'!D18</f>
        <v>송지섭</v>
      </c>
      <c r="D10" s="10" t="s">
        <v>51</v>
      </c>
      <c r="E10" s="10" t="s">
        <v>52</v>
      </c>
      <c r="F10" s="10" t="s">
        <v>53</v>
      </c>
      <c r="G10" s="10" t="s">
        <v>55</v>
      </c>
      <c r="H10" s="10" t="s">
        <v>17</v>
      </c>
      <c r="I10" s="10" t="s">
        <v>27</v>
      </c>
      <c r="J10" s="10" t="s">
        <v>56</v>
      </c>
    </row>
    <row r="11">
      <c r="A11" s="10">
        <f>'갠트 차트 템플릿'!B19</f>
        <v>2.2</v>
      </c>
      <c r="B11" s="10" t="str">
        <f>'갠트 차트 템플릿'!C19</f>
        <v>점검·로드맵·교육 DB 및 ERD 설계</v>
      </c>
      <c r="C11" s="10" t="str">
        <f>'갠트 차트 템플릿'!D19</f>
        <v>오호민, 신가을</v>
      </c>
      <c r="D11" s="35" t="s">
        <v>60</v>
      </c>
      <c r="E11" s="10" t="s">
        <v>61</v>
      </c>
      <c r="F11" s="10" t="s">
        <v>62</v>
      </c>
      <c r="G11" s="35" t="s">
        <v>63</v>
      </c>
      <c r="H11" s="10" t="s">
        <v>17</v>
      </c>
      <c r="I11" s="10" t="s">
        <v>41</v>
      </c>
      <c r="J11" s="10" t="s">
        <v>64</v>
      </c>
    </row>
    <row r="12">
      <c r="A12" s="10">
        <f>'갠트 차트 템플릿'!B20</f>
        <v>2.3</v>
      </c>
      <c r="B12" s="10" t="str">
        <f>'갠트 차트 템플릿'!C20</f>
        <v>규정·학습자료 전처리 및 청킹</v>
      </c>
      <c r="C12" s="10" t="str">
        <f>'갠트 차트 템플릿'!D20</f>
        <v>송지섭, 신가을</v>
      </c>
      <c r="D12" s="10" t="s">
        <v>66</v>
      </c>
      <c r="E12" s="10" t="s">
        <v>67</v>
      </c>
      <c r="F12" s="10" t="s">
        <v>69</v>
      </c>
      <c r="G12" s="10" t="s">
        <v>70</v>
      </c>
      <c r="H12" s="10" t="s">
        <v>17</v>
      </c>
      <c r="I12" s="10" t="s">
        <v>41</v>
      </c>
      <c r="J12" s="10" t="s">
        <v>72</v>
      </c>
    </row>
    <row r="13">
      <c r="A13" s="10">
        <f>'갠트 차트 템플릿'!B21</f>
        <v>2.4</v>
      </c>
      <c r="B13" s="35" t="str">
        <f>'갠트 차트 템플릿'!C21</f>
        <v>요청 3분류 데이터셋 구축·분할</v>
      </c>
      <c r="C13" s="10" t="str">
        <f>'갠트 차트 템플릿'!D21</f>
        <v>이준희</v>
      </c>
      <c r="D13" s="35" t="s">
        <v>77</v>
      </c>
      <c r="E13" s="10" t="s">
        <v>78</v>
      </c>
      <c r="F13" s="35" t="s">
        <v>79</v>
      </c>
      <c r="G13" s="10" t="s">
        <v>80</v>
      </c>
      <c r="H13" s="10" t="s">
        <v>17</v>
      </c>
      <c r="I13" s="10" t="s">
        <v>41</v>
      </c>
      <c r="J13" s="10" t="s">
        <v>81</v>
      </c>
    </row>
    <row r="14">
      <c r="A14" s="10">
        <f>'갠트 차트 템플릿'!B22</f>
        <v>2.5</v>
      </c>
      <c r="B14" s="10" t="str">
        <f>'갠트 차트 템플릿'!C22</f>
        <v>중간발표 자료 작성 및 발표 준비</v>
      </c>
      <c r="C14" s="10" t="str">
        <f>'갠트 차트 템플릿'!D22</f>
        <v>김영석</v>
      </c>
      <c r="D14" s="10" t="s">
        <v>83</v>
      </c>
      <c r="E14" s="10" t="s">
        <v>84</v>
      </c>
      <c r="F14" s="10" t="s">
        <v>86</v>
      </c>
      <c r="G14" s="10" t="s">
        <v>33</v>
      </c>
      <c r="H14" s="10" t="s">
        <v>17</v>
      </c>
      <c r="I14" s="10" t="s">
        <v>41</v>
      </c>
      <c r="J14" s="10" t="s">
        <v>87</v>
      </c>
    </row>
    <row r="15">
      <c r="A15" s="10">
        <f>'갠트 차트 템플릿'!B24</f>
        <v>3.1</v>
      </c>
      <c r="B15" s="10" t="str">
        <f>'갠트 차트 템플릿'!C24</f>
        <v>요청 분류 ML/DL 2종 학습·비교</v>
      </c>
      <c r="C15" s="10" t="str">
        <f>'갠트 차트 템플릿'!D24</f>
        <v>김영석</v>
      </c>
      <c r="D15" s="10" t="s">
        <v>89</v>
      </c>
      <c r="E15" s="10" t="s">
        <v>90</v>
      </c>
      <c r="F15" s="10" t="s">
        <v>91</v>
      </c>
      <c r="G15" s="10" t="s">
        <v>92</v>
      </c>
      <c r="H15" s="10" t="s">
        <v>17</v>
      </c>
      <c r="I15" s="10" t="s">
        <v>41</v>
      </c>
      <c r="J15" s="10" t="s">
        <v>94</v>
      </c>
    </row>
    <row r="16">
      <c r="A16" s="10">
        <f>'갠트 차트 템플릿'!B25</f>
        <v>3.2</v>
      </c>
      <c r="B16" s="10" t="str">
        <f>'갠트 차트 템플릿'!C25</f>
        <v>규정·학습자료 색인 및 권한 필터</v>
      </c>
      <c r="C16" s="10" t="str">
        <f>'갠트 차트 템플릿'!D25</f>
        <v>송지섭</v>
      </c>
      <c r="D16" s="10" t="s">
        <v>99</v>
      </c>
      <c r="E16" s="10" t="s">
        <v>100</v>
      </c>
      <c r="F16" s="10" t="s">
        <v>101</v>
      </c>
      <c r="G16" s="10" t="s">
        <v>102</v>
      </c>
      <c r="H16" s="10" t="s">
        <v>17</v>
      </c>
      <c r="I16" s="10" t="s">
        <v>41</v>
      </c>
      <c r="J16" s="10" t="s">
        <v>104</v>
      </c>
    </row>
    <row r="17">
      <c r="A17" s="10">
        <f>'갠트 차트 템플릿'!B26</f>
        <v>3.3</v>
      </c>
      <c r="B17" s="10" t="str">
        <f>'갠트 차트 템플릿'!C26</f>
        <v>K-MOOC 연동 및 학습자료 DB 구축</v>
      </c>
      <c r="C17" s="10" t="str">
        <f>'갠트 차트 템플릿'!D26</f>
        <v>오호민</v>
      </c>
      <c r="D17" s="10" t="s">
        <v>106</v>
      </c>
      <c r="E17" s="10" t="s">
        <v>107</v>
      </c>
      <c r="F17" s="10" t="s">
        <v>108</v>
      </c>
      <c r="G17" s="10" t="s">
        <v>109</v>
      </c>
      <c r="H17" s="10" t="s">
        <v>17</v>
      </c>
      <c r="I17" s="10" t="s">
        <v>48</v>
      </c>
      <c r="J17" s="10" t="s">
        <v>110</v>
      </c>
    </row>
    <row r="18">
      <c r="A18" s="10">
        <f>'갠트 차트 템플릿'!B27</f>
        <v>3.4</v>
      </c>
      <c r="B18" s="10" t="str">
        <f>'갠트 차트 템플릿'!C27</f>
        <v>RDB 구축·직원/상급자 가상자료 적재</v>
      </c>
      <c r="C18" s="10" t="str">
        <f>'갠트 차트 템플릿'!D27</f>
        <v>[미정]</v>
      </c>
      <c r="D18" s="35" t="s">
        <v>111</v>
      </c>
      <c r="E18" s="10" t="s">
        <v>112</v>
      </c>
      <c r="F18" s="10" t="s">
        <v>113</v>
      </c>
      <c r="G18" s="35" t="s">
        <v>114</v>
      </c>
      <c r="H18" s="10" t="s">
        <v>17</v>
      </c>
      <c r="I18" s="10" t="s">
        <v>41</v>
      </c>
      <c r="J18" s="10" t="s">
        <v>115</v>
      </c>
    </row>
    <row r="19">
      <c r="A19" s="10">
        <f>'갠트 차트 템플릿'!B29</f>
        <v>4.1</v>
      </c>
      <c r="B19" s="10" t="str">
        <f>'갠트 차트 템플릿'!C29</f>
        <v>sLLM 데이터·고정 시험 30건 준비</v>
      </c>
      <c r="C19" s="10" t="str">
        <f>'갠트 차트 템플릿'!D29</f>
        <v>[미정]</v>
      </c>
      <c r="D19" s="10" t="s">
        <v>116</v>
      </c>
      <c r="E19" s="10" t="s">
        <v>117</v>
      </c>
      <c r="F19" s="10" t="s">
        <v>118</v>
      </c>
      <c r="G19" s="10" t="s">
        <v>119</v>
      </c>
      <c r="H19" s="10" t="s">
        <v>17</v>
      </c>
      <c r="I19" s="10" t="s">
        <v>120</v>
      </c>
      <c r="J19" s="10" t="s">
        <v>121</v>
      </c>
    </row>
    <row r="20">
      <c r="A20" s="10">
        <f>'갠트 차트 템플릿'!B30</f>
        <v>4.2</v>
      </c>
      <c r="B20" s="10" t="str">
        <f>'갠트 차트 템플릿'!C30</f>
        <v>규정 에이전트·챗봇 라우팅 구현</v>
      </c>
      <c r="C20" s="10" t="str">
        <f>'갠트 차트 템플릿'!D30</f>
        <v>이준희</v>
      </c>
      <c r="D20" s="35" t="s">
        <v>122</v>
      </c>
      <c r="E20" s="10" t="s">
        <v>123</v>
      </c>
      <c r="F20" s="35" t="s">
        <v>124</v>
      </c>
      <c r="G20" s="10" t="s">
        <v>125</v>
      </c>
      <c r="H20" s="10" t="s">
        <v>17</v>
      </c>
      <c r="I20" s="10" t="s">
        <v>41</v>
      </c>
      <c r="J20" s="10" t="s">
        <v>126</v>
      </c>
    </row>
    <row r="21">
      <c r="A21" s="10">
        <f>'갠트 차트 템플릿'!B31</f>
        <v>4.3</v>
      </c>
      <c r="B21" s="10" t="str">
        <f>'갠트 차트 템플릿'!C31</f>
        <v>로드맵 계획·관점별 3안 구현</v>
      </c>
      <c r="C21" s="10" t="str">
        <f>'갠트 차트 템플릿'!D31</f>
        <v>오호민, 김영석</v>
      </c>
      <c r="D21" s="35" t="s">
        <v>129</v>
      </c>
      <c r="E21" s="10" t="s">
        <v>130</v>
      </c>
      <c r="F21" s="10" t="s">
        <v>131</v>
      </c>
      <c r="G21" s="35" t="s">
        <v>132</v>
      </c>
      <c r="H21" s="10" t="s">
        <v>17</v>
      </c>
      <c r="I21" s="10" t="s">
        <v>133</v>
      </c>
      <c r="J21" s="35" t="s">
        <v>134</v>
      </c>
    </row>
    <row r="22">
      <c r="A22" s="10">
        <f>'갠트 차트 템플릿'!B32</f>
        <v>4.4</v>
      </c>
      <c r="B22" s="10" t="str">
        <f>'갠트 차트 템플릿'!C32</f>
        <v>sLLM 요건 확인·LoRA/QLoRA 학습/서빙</v>
      </c>
      <c r="C22" s="10" t="str">
        <f>'갠트 차트 템플릿'!D32</f>
        <v>오호민, 김영석</v>
      </c>
      <c r="D22" s="35" t="s">
        <v>135</v>
      </c>
      <c r="E22" s="10" t="s">
        <v>136</v>
      </c>
      <c r="F22" s="10" t="s">
        <v>137</v>
      </c>
      <c r="G22" s="10" t="s">
        <v>138</v>
      </c>
      <c r="H22" s="10" t="s">
        <v>17</v>
      </c>
      <c r="I22" s="10" t="s">
        <v>139</v>
      </c>
      <c r="J22" s="35" t="s">
        <v>140</v>
      </c>
    </row>
    <row r="23">
      <c r="A23" s="10">
        <f>'갠트 차트 템플릿'!B33</f>
        <v>4.5</v>
      </c>
      <c r="B23" s="10" t="str">
        <f>'갠트 차트 템플릿'!C33</f>
        <v>진단 에이전트·점검/결과 보고 구현</v>
      </c>
      <c r="C23" s="10" t="str">
        <f>'갠트 차트 템플릿'!D33</f>
        <v>이준희</v>
      </c>
      <c r="D23" s="35" t="s">
        <v>141</v>
      </c>
      <c r="E23" s="35" t="s">
        <v>142</v>
      </c>
      <c r="F23" s="35" t="s">
        <v>143</v>
      </c>
      <c r="G23" s="10" t="s">
        <v>144</v>
      </c>
      <c r="H23" s="10" t="s">
        <v>17</v>
      </c>
      <c r="I23" s="10" t="s">
        <v>145</v>
      </c>
      <c r="J23" s="10" t="s">
        <v>146</v>
      </c>
    </row>
    <row r="24">
      <c r="A24" s="10">
        <f>'갠트 차트 템플릿'!B34</f>
        <v>4.6</v>
      </c>
      <c r="B24" s="10" t="str">
        <f>'갠트 차트 템플릿'!C34</f>
        <v>공통 검사·확정/저장·자료 운영</v>
      </c>
      <c r="C24" s="10" t="str">
        <f>'갠트 차트 템플릿'!D34</f>
        <v>[미정]</v>
      </c>
      <c r="D24" s="10" t="s">
        <v>147</v>
      </c>
      <c r="E24" s="10" t="s">
        <v>148</v>
      </c>
      <c r="F24" s="35" t="s">
        <v>149</v>
      </c>
      <c r="G24" s="10" t="s">
        <v>150</v>
      </c>
      <c r="H24" s="10" t="s">
        <v>17</v>
      </c>
      <c r="I24" s="10" t="s">
        <v>151</v>
      </c>
      <c r="J24" s="24" t="s">
        <v>152</v>
      </c>
    </row>
    <row r="25">
      <c r="A25" s="10">
        <f>'갠트 차트 템플릿'!B36</f>
        <v>5.1</v>
      </c>
      <c r="B25" s="10" t="str">
        <f>'갠트 차트 템플릿'!C36</f>
        <v>구성·학습·후보 방식 비교(A/B/C/E/F/G)</v>
      </c>
      <c r="C25" s="10" t="str">
        <f>'갠트 차트 템플릿'!D36</f>
        <v>송지섭</v>
      </c>
      <c r="D25" s="35" t="s">
        <v>153</v>
      </c>
      <c r="E25" s="10" t="s">
        <v>154</v>
      </c>
      <c r="F25" s="10" t="s">
        <v>155</v>
      </c>
      <c r="G25" s="10" t="s">
        <v>156</v>
      </c>
      <c r="H25" s="10" t="s">
        <v>17</v>
      </c>
      <c r="I25" s="10" t="s">
        <v>41</v>
      </c>
      <c r="J25" s="10" t="s">
        <v>157</v>
      </c>
    </row>
    <row r="26">
      <c r="A26" s="10">
        <f>'갠트 차트 템플릿'!B37</f>
        <v>5.2</v>
      </c>
      <c r="B26" s="10" t="str">
        <f>'갠트 차트 템플릿'!C37</f>
        <v>모델 후보 비교(D, 선택 실험)</v>
      </c>
      <c r="C26" s="10" t="str">
        <f>'갠트 차트 템플릿'!D37</f>
        <v>[미정]</v>
      </c>
      <c r="D26" s="10" t="s">
        <v>159</v>
      </c>
      <c r="E26" s="35" t="s">
        <v>160</v>
      </c>
      <c r="F26" s="10" t="s">
        <v>161</v>
      </c>
      <c r="G26" s="10" t="s">
        <v>162</v>
      </c>
      <c r="H26" s="10" t="s">
        <v>17</v>
      </c>
      <c r="I26" s="10" t="s">
        <v>163</v>
      </c>
      <c r="J26" s="10" t="s">
        <v>164</v>
      </c>
    </row>
    <row r="27">
      <c r="A27" s="10">
        <f>'갠트 차트 템플릿'!B38</f>
        <v>5.3</v>
      </c>
      <c r="B27" s="10" t="str">
        <f>'갠트 차트 템플릿'!C38</f>
        <v>비교 분석·멀티에이전트 보고서 작성</v>
      </c>
      <c r="C27" s="10" t="str">
        <f>'갠트 차트 템플릿'!D38</f>
        <v>송지섭</v>
      </c>
      <c r="D27" s="10" t="s">
        <v>165</v>
      </c>
      <c r="E27" s="10" t="s">
        <v>166</v>
      </c>
      <c r="F27" s="10" t="s">
        <v>167</v>
      </c>
      <c r="G27" s="10" t="s">
        <v>168</v>
      </c>
      <c r="H27" s="10" t="s">
        <v>17</v>
      </c>
      <c r="I27" s="10" t="s">
        <v>41</v>
      </c>
      <c r="J27" s="10" t="s">
        <v>169</v>
      </c>
    </row>
    <row r="28">
      <c r="A28" s="10">
        <f>'갠트 차트 템플릿'!B39</f>
        <v>5.4</v>
      </c>
      <c r="B28" s="10" t="str">
        <f>'갠트 차트 템플릿'!C39</f>
        <v>시스템 구성도·코드/기능·모델 동결</v>
      </c>
      <c r="C28" s="10" t="str">
        <f>'갠트 차트 템플릿'!D39</f>
        <v>[미정]</v>
      </c>
      <c r="D28" s="10" t="s">
        <v>170</v>
      </c>
      <c r="E28" s="10" t="s">
        <v>171</v>
      </c>
      <c r="F28" s="10" t="s">
        <v>172</v>
      </c>
      <c r="G28" s="10" t="s">
        <v>173</v>
      </c>
      <c r="H28" s="10" t="s">
        <v>17</v>
      </c>
      <c r="I28" s="10" t="s">
        <v>41</v>
      </c>
      <c r="J28" s="10" t="s">
        <v>174</v>
      </c>
    </row>
    <row r="29">
      <c r="A29" s="10">
        <f>'갠트 차트 템플릿'!B41</f>
        <v>6.1</v>
      </c>
      <c r="B29" s="10" t="str">
        <f>'갠트 차트 템플릿'!C41</f>
        <v>권한·세션·저장·공개 범위 테스트</v>
      </c>
      <c r="C29" s="10" t="str">
        <f>'갠트 차트 템플릿'!D41</f>
        <v>[미정]</v>
      </c>
      <c r="D29" s="10" t="s">
        <v>178</v>
      </c>
      <c r="E29" s="10" t="s">
        <v>180</v>
      </c>
      <c r="F29" s="10" t="s">
        <v>181</v>
      </c>
      <c r="G29" s="10" t="s">
        <v>182</v>
      </c>
      <c r="H29" s="10" t="s">
        <v>17</v>
      </c>
      <c r="I29" s="10" t="s">
        <v>41</v>
      </c>
      <c r="J29" s="10" t="s">
        <v>183</v>
      </c>
    </row>
    <row r="30">
      <c r="A30" s="10">
        <f>'갠트 차트 템플릿'!B42</f>
        <v>6.2</v>
      </c>
      <c r="B30" s="10" t="str">
        <f>'갠트 차트 템플릿'!C42</f>
        <v>팀원 5명 사례·전 과정 흐름 검증</v>
      </c>
      <c r="C30" s="10" t="str">
        <f>'갠트 차트 템플릿'!D42</f>
        <v>송지섭</v>
      </c>
      <c r="D30" s="10" t="s">
        <v>186</v>
      </c>
      <c r="E30" s="10" t="s">
        <v>187</v>
      </c>
      <c r="F30" s="10" t="s">
        <v>188</v>
      </c>
      <c r="G30" s="35" t="s">
        <v>189</v>
      </c>
      <c r="H30" s="10" t="s">
        <v>17</v>
      </c>
      <c r="I30" s="10" t="s">
        <v>41</v>
      </c>
      <c r="J30" s="10" t="s">
        <v>190</v>
      </c>
    </row>
    <row r="31">
      <c r="A31" s="10">
        <f>'갠트 차트 템플릿'!B43</f>
        <v>6.3</v>
      </c>
      <c r="B31" s="10" t="str">
        <f>'갠트 차트 템플릿'!C43</f>
        <v>결함·예외 보강 및 서비스 시험 보고</v>
      </c>
      <c r="C31" s="10" t="str">
        <f>'갠트 차트 템플릿'!D43</f>
        <v>[미정]</v>
      </c>
      <c r="D31" s="10" t="s">
        <v>193</v>
      </c>
      <c r="E31" s="10" t="s">
        <v>194</v>
      </c>
      <c r="F31" s="10" t="s">
        <v>195</v>
      </c>
      <c r="G31" s="10" t="s">
        <v>196</v>
      </c>
      <c r="H31" s="10" t="s">
        <v>17</v>
      </c>
      <c r="I31" s="10" t="s">
        <v>41</v>
      </c>
      <c r="J31" s="10" t="s">
        <v>197</v>
      </c>
    </row>
    <row r="32">
      <c r="A32" s="10">
        <f>'갠트 차트 템플릿'!B45</f>
        <v>7.1</v>
      </c>
      <c r="B32" s="10" t="str">
        <f>'갠트 차트 템플릿'!C45</f>
        <v>최종 웹 어플리케이션 배포 환경 점검</v>
      </c>
      <c r="C32" s="10" t="str">
        <f>'갠트 차트 템플릿'!D45</f>
        <v>[미정]</v>
      </c>
      <c r="D32" s="10" t="s">
        <v>199</v>
      </c>
      <c r="E32" s="10" t="s">
        <v>200</v>
      </c>
      <c r="F32" s="10" t="s">
        <v>201</v>
      </c>
      <c r="G32" s="10" t="s">
        <v>202</v>
      </c>
      <c r="H32" s="10" t="s">
        <v>17</v>
      </c>
      <c r="I32" s="10" t="s">
        <v>41</v>
      </c>
      <c r="J32" s="10" t="s">
        <v>203</v>
      </c>
    </row>
    <row r="33">
      <c r="A33" s="10">
        <f>'갠트 차트 템플릿'!B46</f>
        <v>7.2</v>
      </c>
      <c r="B33" s="10" t="str">
        <f>'갠트 차트 템플릿'!C46</f>
        <v>최종 보고서 작성 및 GitHub 코드 정리</v>
      </c>
      <c r="C33" s="10" t="str">
        <f>'갠트 차트 템플릿'!D46</f>
        <v>[미정]</v>
      </c>
      <c r="D33" s="10" t="s">
        <v>204</v>
      </c>
      <c r="E33" s="10" t="s">
        <v>205</v>
      </c>
      <c r="F33" s="10" t="s">
        <v>206</v>
      </c>
      <c r="G33" s="10" t="s">
        <v>208</v>
      </c>
      <c r="H33" s="10" t="s">
        <v>17</v>
      </c>
      <c r="I33" s="10" t="s">
        <v>41</v>
      </c>
      <c r="J33" s="10" t="s">
        <v>209</v>
      </c>
    </row>
    <row r="34">
      <c r="A34" s="10">
        <f>'갠트 차트 템플릿'!B47</f>
        <v>7.3</v>
      </c>
      <c r="B34" s="10" t="str">
        <f>'갠트 차트 템플릿'!C47</f>
        <v>시연 시나리오 3종 영상 녹화 및 편집</v>
      </c>
      <c r="C34" s="10" t="str">
        <f>'갠트 차트 템플릿'!D47</f>
        <v>[미정]</v>
      </c>
      <c r="D34" s="10" t="s">
        <v>211</v>
      </c>
      <c r="E34" s="10" t="s">
        <v>212</v>
      </c>
      <c r="F34" s="10" t="s">
        <v>214</v>
      </c>
      <c r="G34" s="35" t="s">
        <v>215</v>
      </c>
      <c r="H34" s="10" t="s">
        <v>17</v>
      </c>
      <c r="I34" s="10" t="s">
        <v>41</v>
      </c>
      <c r="J34" s="10" t="s">
        <v>216</v>
      </c>
    </row>
    <row r="35">
      <c r="A35" s="10">
        <f>'갠트 차트 템플릿'!B48</f>
        <v>7.4</v>
      </c>
      <c r="B35" s="10" t="str">
        <f>'갠트 차트 템플릿'!C48</f>
        <v>최종 발표 자료 작성 및 발표 리허설</v>
      </c>
      <c r="C35" s="10" t="str">
        <f>'갠트 차트 템플릿'!D48</f>
        <v>[미정]</v>
      </c>
      <c r="D35" s="10" t="s">
        <v>217</v>
      </c>
      <c r="E35" s="10" t="s">
        <v>218</v>
      </c>
      <c r="F35" s="10" t="s">
        <v>219</v>
      </c>
      <c r="G35" s="10" t="s">
        <v>33</v>
      </c>
      <c r="H35" s="10" t="s">
        <v>17</v>
      </c>
      <c r="I35" s="10" t="s">
        <v>41</v>
      </c>
      <c r="J35" s="10" t="s">
        <v>222</v>
      </c>
    </row>
    <row r="36">
      <c r="A36" s="10"/>
      <c r="B36" s="10"/>
      <c r="C36" s="10"/>
      <c r="D36" s="10"/>
      <c r="E36" s="10"/>
      <c r="F36" s="10"/>
      <c r="G36" s="10"/>
      <c r="H36" s="10"/>
      <c r="I36" s="10"/>
      <c r="J36" s="10"/>
    </row>
    <row r="37" ht="22.5" customHeight="1">
      <c r="A37" s="103" t="s">
        <v>223</v>
      </c>
    </row>
    <row r="38">
      <c r="A38" s="105" t="s">
        <v>226</v>
      </c>
      <c r="B38" s="10" t="s">
        <v>227</v>
      </c>
      <c r="C38" s="24" t="s">
        <v>225</v>
      </c>
      <c r="D38" s="10" t="s">
        <v>228</v>
      </c>
      <c r="E38" s="10" t="s">
        <v>229</v>
      </c>
      <c r="F38" s="10" t="s">
        <v>230</v>
      </c>
      <c r="G38" s="10" t="s">
        <v>231</v>
      </c>
      <c r="H38" s="10" t="s">
        <v>17</v>
      </c>
      <c r="I38" s="10" t="s">
        <v>232</v>
      </c>
      <c r="J38" s="10" t="s">
        <v>233</v>
      </c>
    </row>
    <row r="39">
      <c r="A39" s="105" t="s">
        <v>234</v>
      </c>
      <c r="B39" s="10" t="s">
        <v>235</v>
      </c>
      <c r="C39" s="10" t="s">
        <v>17</v>
      </c>
      <c r="D39" s="10" t="s">
        <v>236</v>
      </c>
      <c r="E39" s="10" t="s">
        <v>237</v>
      </c>
      <c r="F39" s="10" t="s">
        <v>238</v>
      </c>
      <c r="G39" s="10" t="s">
        <v>240</v>
      </c>
      <c r="H39" s="10" t="s">
        <v>17</v>
      </c>
      <c r="I39" s="10" t="s">
        <v>232</v>
      </c>
      <c r="J39" s="10" t="s">
        <v>241</v>
      </c>
    </row>
    <row r="40">
      <c r="A40" s="105" t="s">
        <v>234</v>
      </c>
      <c r="B40" s="10" t="s">
        <v>243</v>
      </c>
      <c r="C40" s="24" t="s">
        <v>225</v>
      </c>
      <c r="D40" s="35" t="s">
        <v>244</v>
      </c>
      <c r="E40" s="35" t="s">
        <v>245</v>
      </c>
      <c r="F40" s="10" t="s">
        <v>246</v>
      </c>
      <c r="G40" s="35" t="s">
        <v>247</v>
      </c>
      <c r="H40" s="10" t="s">
        <v>17</v>
      </c>
      <c r="I40" s="10" t="s">
        <v>232</v>
      </c>
      <c r="J40" s="35" t="s">
        <v>248</v>
      </c>
    </row>
    <row r="41">
      <c r="A41" s="105" t="s">
        <v>249</v>
      </c>
      <c r="B41" s="10" t="s">
        <v>250</v>
      </c>
      <c r="C41" s="10" t="s">
        <v>17</v>
      </c>
      <c r="D41" s="35" t="s">
        <v>251</v>
      </c>
      <c r="E41" s="35" t="s">
        <v>253</v>
      </c>
      <c r="F41" s="35" t="s">
        <v>254</v>
      </c>
      <c r="G41" s="10" t="s">
        <v>255</v>
      </c>
      <c r="H41" s="10" t="s">
        <v>17</v>
      </c>
      <c r="I41" s="10" t="s">
        <v>256</v>
      </c>
      <c r="J41" s="10" t="s">
        <v>257</v>
      </c>
    </row>
    <row r="42">
      <c r="A42" s="105" t="s">
        <v>249</v>
      </c>
      <c r="B42" s="10" t="s">
        <v>258</v>
      </c>
      <c r="C42" s="24" t="s">
        <v>225</v>
      </c>
      <c r="D42" s="10" t="s">
        <v>259</v>
      </c>
      <c r="E42" s="10" t="s">
        <v>260</v>
      </c>
      <c r="F42" s="10" t="s">
        <v>261</v>
      </c>
      <c r="G42" s="10" t="s">
        <v>262</v>
      </c>
      <c r="H42" s="10" t="s">
        <v>17</v>
      </c>
      <c r="I42" s="10" t="s">
        <v>232</v>
      </c>
      <c r="J42" s="10" t="s">
        <v>263</v>
      </c>
    </row>
    <row r="43">
      <c r="A43" s="105" t="s">
        <v>264</v>
      </c>
      <c r="B43" s="10" t="s">
        <v>265</v>
      </c>
      <c r="C43" s="10" t="s">
        <v>17</v>
      </c>
      <c r="D43" s="10" t="s">
        <v>266</v>
      </c>
      <c r="E43" s="10" t="s">
        <v>267</v>
      </c>
      <c r="F43" s="10" t="s">
        <v>268</v>
      </c>
      <c r="G43" s="10" t="s">
        <v>269</v>
      </c>
      <c r="H43" s="10" t="s">
        <v>17</v>
      </c>
      <c r="I43" s="10" t="s">
        <v>232</v>
      </c>
      <c r="J43" s="24" t="s">
        <v>270</v>
      </c>
    </row>
    <row r="44">
      <c r="A44" s="105" t="s">
        <v>264</v>
      </c>
      <c r="B44" s="10" t="s">
        <v>271</v>
      </c>
      <c r="C44" s="10" t="s">
        <v>17</v>
      </c>
      <c r="D44" s="10" t="s">
        <v>272</v>
      </c>
      <c r="E44" s="10" t="s">
        <v>273</v>
      </c>
      <c r="F44" s="10" t="s">
        <v>274</v>
      </c>
      <c r="G44" s="10" t="s">
        <v>275</v>
      </c>
      <c r="H44" s="10" t="s">
        <v>17</v>
      </c>
      <c r="I44" s="10" t="s">
        <v>276</v>
      </c>
      <c r="J44" s="10" t="s">
        <v>277</v>
      </c>
    </row>
    <row r="45">
      <c r="A45" s="105" t="s">
        <v>264</v>
      </c>
      <c r="B45" s="10" t="s">
        <v>279</v>
      </c>
      <c r="C45" s="10" t="s">
        <v>17</v>
      </c>
      <c r="D45" s="10" t="s">
        <v>280</v>
      </c>
      <c r="E45" s="10" t="s">
        <v>281</v>
      </c>
      <c r="F45" s="10" t="s">
        <v>282</v>
      </c>
      <c r="G45" s="10" t="s">
        <v>283</v>
      </c>
      <c r="H45" s="10" t="s">
        <v>17</v>
      </c>
      <c r="I45" s="10" t="s">
        <v>232</v>
      </c>
      <c r="J45" s="10" t="s">
        <v>284</v>
      </c>
    </row>
    <row r="46">
      <c r="A46" s="10"/>
      <c r="B46" s="10"/>
      <c r="C46" s="10"/>
      <c r="D46" s="10"/>
      <c r="E46" s="10"/>
      <c r="F46" s="10"/>
      <c r="G46" s="10"/>
      <c r="H46" s="10"/>
      <c r="I46" s="10"/>
      <c r="J46" s="10"/>
    </row>
    <row r="47" ht="22.5" customHeight="1">
      <c r="A47" s="103" t="s">
        <v>285</v>
      </c>
    </row>
    <row r="48" ht="21.0" customHeight="1">
      <c r="A48" s="105" t="s">
        <v>286</v>
      </c>
      <c r="B48" s="10" t="s">
        <v>287</v>
      </c>
    </row>
    <row r="49" ht="21.0" customHeight="1">
      <c r="A49" s="105" t="s">
        <v>289</v>
      </c>
      <c r="B49" s="10" t="s">
        <v>290</v>
      </c>
    </row>
    <row r="50" ht="21.0" customHeight="1">
      <c r="A50" s="105" t="s">
        <v>291</v>
      </c>
      <c r="B50" s="10" t="s">
        <v>292</v>
      </c>
    </row>
    <row r="51" ht="21.0" customHeight="1">
      <c r="A51" s="105" t="s">
        <v>293</v>
      </c>
      <c r="B51" s="10" t="s">
        <v>294</v>
      </c>
    </row>
    <row r="52" ht="21.0" customHeight="1">
      <c r="A52" s="105" t="s">
        <v>295</v>
      </c>
      <c r="B52" s="35" t="s">
        <v>296</v>
      </c>
    </row>
    <row r="53" ht="21.0" customHeight="1">
      <c r="A53" s="105" t="s">
        <v>298</v>
      </c>
      <c r="B53" s="35" t="s">
        <v>299</v>
      </c>
    </row>
    <row r="54" ht="21.0" customHeight="1">
      <c r="A54" s="105" t="s">
        <v>300</v>
      </c>
      <c r="B54" s="10" t="s">
        <v>301</v>
      </c>
    </row>
    <row r="55" ht="21.0" customHeight="1">
      <c r="A55" s="105" t="s">
        <v>302</v>
      </c>
      <c r="B55" s="10" t="s">
        <v>303</v>
      </c>
    </row>
    <row r="56">
      <c r="A56" s="10"/>
      <c r="B56" s="10"/>
      <c r="C56" s="10"/>
      <c r="D56" s="10"/>
      <c r="E56" s="10"/>
      <c r="F56" s="10"/>
      <c r="G56" s="10"/>
      <c r="H56" s="10"/>
      <c r="I56" s="10"/>
      <c r="J56" s="10"/>
    </row>
    <row r="57">
      <c r="A57" s="10"/>
      <c r="B57" s="10"/>
      <c r="C57" s="10"/>
      <c r="D57" s="10"/>
      <c r="E57" s="10"/>
      <c r="F57" s="10"/>
      <c r="G57" s="10"/>
      <c r="H57" s="10"/>
      <c r="I57" s="10"/>
      <c r="J57" s="10"/>
    </row>
    <row r="58" ht="22.5" customHeight="1">
      <c r="A58" s="103" t="s">
        <v>305</v>
      </c>
    </row>
    <row r="59" ht="33.0" customHeight="1">
      <c r="A59" s="10" t="s">
        <v>306</v>
      </c>
      <c r="B59" s="24" t="s">
        <v>307</v>
      </c>
    </row>
    <row r="60" ht="33.0" customHeight="1">
      <c r="A60" s="10" t="s">
        <v>163</v>
      </c>
      <c r="B60" s="10" t="s">
        <v>308</v>
      </c>
    </row>
    <row r="61" ht="33.0" customHeight="1">
      <c r="A61" s="10" t="s">
        <v>310</v>
      </c>
      <c r="B61" s="10" t="s">
        <v>311</v>
      </c>
    </row>
    <row r="62" ht="33.0" customHeight="1">
      <c r="A62" s="10" t="s">
        <v>312</v>
      </c>
      <c r="B62" s="10" t="s">
        <v>313</v>
      </c>
    </row>
  </sheetData>
  <autoFilter ref="$A$4:$J$35"/>
  <mergeCells count="17">
    <mergeCell ref="A1:J1"/>
    <mergeCell ref="A2:J2"/>
    <mergeCell ref="A37:J37"/>
    <mergeCell ref="A47:J47"/>
    <mergeCell ref="B48:J48"/>
    <mergeCell ref="B49:J49"/>
    <mergeCell ref="B50:J50"/>
    <mergeCell ref="B60:J60"/>
    <mergeCell ref="B61:J61"/>
    <mergeCell ref="B62:J62"/>
    <mergeCell ref="B51:J51"/>
    <mergeCell ref="B52:J52"/>
    <mergeCell ref="B53:J53"/>
    <mergeCell ref="B54:J54"/>
    <mergeCell ref="B55:J55"/>
    <mergeCell ref="A58:J58"/>
    <mergeCell ref="B59:J59"/>
  </mergeCells>
  <drawing r:id="rId1"/>
</worksheet>
</file>